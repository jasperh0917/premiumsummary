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66925"/>
  <mc:AlternateContent xmlns:mc="http://schemas.openxmlformats.org/markup-compatibility/2006">
    <mc:Choice Requires="x15">
      <x15ac:absPath xmlns:x15ac="http://schemas.microsoft.com/office/spreadsheetml/2010/11/ac" url="/Users/jasperhealthx/Desktop/AI Projects/"/>
    </mc:Choice>
  </mc:AlternateContent>
  <xr:revisionPtr revIDLastSave="0" documentId="13_ncr:1_{15D391E6-6159-0E4A-AD6A-968B72BF3120}" xr6:coauthVersionLast="47" xr6:coauthVersionMax="47" xr10:uidLastSave="{00000000-0000-0000-0000-000000000000}"/>
  <bookViews>
    <workbookView xWindow="0" yWindow="600" windowWidth="28800" windowHeight="17400" activeTab="5" xr2:uid="{9203FB7A-BC06-1544-AC7D-7D844E73AFC1}"/>
  </bookViews>
  <sheets>
    <sheet name="Approved Quote" sheetId="6" r:id="rId1"/>
    <sheet name="Confirmation Info Sheet" sheetId="1" r:id="rId2"/>
    <sheet name="Email Helper" sheetId="5" state="hidden" r:id="rId3"/>
    <sheet name="Premium Table" sheetId="2" r:id="rId4"/>
    <sheet name="Final premium per member" sheetId="4" r:id="rId5"/>
    <sheet name="PRD" sheetId="8" r:id="rId6"/>
    <sheet name="Calculation Explainer" sheetId="9" r:id="rId7"/>
  </sheets>
  <definedNames>
    <definedName name="_xlnm._FilterDatabase" localSheetId="4" hidden="1">'Final premium per member'!$A$5:$R$507</definedName>
    <definedName name="_xlnm._FilterDatabase" localSheetId="3" hidden="1">'Premium Table'!$A$19:$O$19</definedName>
    <definedName name="AUHAgeBr">'Final premium per member'!$U$5:$V$17</definedName>
    <definedName name="DXBAgeBr">'Final premium per member'!$T$5:$V$17</definedName>
    <definedName name="_xlnm.Print_Area" localSheetId="3">'Premium Table'!$A$3:$O$42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6" i="9" l="1"/>
  <c r="C155" i="9"/>
  <c r="C154" i="9"/>
  <c r="C153" i="9"/>
  <c r="C152" i="9"/>
  <c r="C151" i="9"/>
  <c r="C150" i="9"/>
  <c r="C149" i="9"/>
  <c r="C148" i="9"/>
  <c r="C101" i="9"/>
  <c r="C81" i="9"/>
  <c r="C95" i="9"/>
  <c r="C94" i="9"/>
  <c r="C60" i="9"/>
  <c r="C59" i="9"/>
  <c r="C39" i="9"/>
  <c r="C17" i="9"/>
  <c r="I58" i="6"/>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J32" i="6"/>
  <c r="H32" i="6"/>
  <c r="E32" i="6"/>
  <c r="C32" i="6"/>
  <c r="X2" i="4" a="1"/>
  <c r="X2" i="4" s="1"/>
  <c r="J56" i="6" l="1"/>
  <c r="H56" i="6"/>
  <c r="E56" i="6"/>
  <c r="C56" i="6"/>
  <c r="H69" i="2"/>
  <c r="B69" i="2"/>
  <c r="B68" i="2"/>
  <c r="B67" i="2"/>
  <c r="B66" i="2"/>
  <c r="B65" i="2"/>
  <c r="B64" i="2"/>
  <c r="B63" i="2"/>
  <c r="B62" i="2"/>
  <c r="B61" i="2"/>
  <c r="B60" i="2"/>
  <c r="B59" i="2"/>
  <c r="B58" i="2"/>
  <c r="B57" i="2"/>
  <c r="B56" i="2"/>
  <c r="B55" i="2"/>
  <c r="B54" i="2"/>
  <c r="B53" i="2"/>
  <c r="B52" i="2"/>
  <c r="B51" i="2"/>
  <c r="B50" i="2"/>
  <c r="B49" i="2"/>
  <c r="B48" i="2"/>
  <c r="B47" i="2"/>
  <c r="B46" i="2"/>
  <c r="B44" i="2"/>
  <c r="B43" i="2"/>
  <c r="B42" i="2"/>
  <c r="B41" i="2"/>
  <c r="B40" i="2"/>
  <c r="B39" i="2"/>
  <c r="B38" i="2"/>
  <c r="B37" i="2"/>
  <c r="B36" i="2"/>
  <c r="B35" i="2"/>
  <c r="B34" i="2"/>
  <c r="B33" i="2"/>
  <c r="B32" i="2"/>
  <c r="B31" i="2"/>
  <c r="B30" i="2"/>
  <c r="B29" i="2"/>
  <c r="B28" i="2"/>
  <c r="B27" i="2"/>
  <c r="B26" i="2"/>
  <c r="B25" i="2"/>
  <c r="B24" i="2"/>
  <c r="B23" i="2"/>
  <c r="B22" i="2"/>
  <c r="B21" i="2"/>
  <c r="W2" i="4"/>
  <c r="H44" i="2" s="1"/>
  <c r="AL17" i="4" l="1"/>
  <c r="AL16" i="4"/>
  <c r="AL15" i="4"/>
  <c r="AL14" i="4"/>
  <c r="AL13" i="4"/>
  <c r="AL12" i="4"/>
  <c r="AL11" i="4"/>
  <c r="AL10" i="4"/>
  <c r="AL9" i="4"/>
  <c r="AL8" i="4"/>
  <c r="AL7" i="4"/>
  <c r="AL6" i="4"/>
  <c r="AJ17" i="4"/>
  <c r="AJ16" i="4"/>
  <c r="AJ15" i="4"/>
  <c r="AJ14" i="4"/>
  <c r="AJ13" i="4"/>
  <c r="AJ12" i="4"/>
  <c r="AJ11" i="4"/>
  <c r="AJ10" i="4"/>
  <c r="AJ9" i="4"/>
  <c r="AJ8" i="4"/>
  <c r="AJ7" i="4"/>
  <c r="AK17" i="4"/>
  <c r="AK16" i="4"/>
  <c r="AK15" i="4"/>
  <c r="AK14" i="4"/>
  <c r="AK13" i="4"/>
  <c r="AK12" i="4"/>
  <c r="AK11" i="4"/>
  <c r="AK10" i="4"/>
  <c r="AK9" i="4"/>
  <c r="AK8" i="4"/>
  <c r="AK7" i="4"/>
  <c r="AK6" i="4"/>
  <c r="AI17" i="4"/>
  <c r="AI16" i="4"/>
  <c r="AI15" i="4"/>
  <c r="AI14" i="4"/>
  <c r="AI13" i="4"/>
  <c r="AI12" i="4"/>
  <c r="AI11" i="4"/>
  <c r="AI10" i="4"/>
  <c r="AI9" i="4"/>
  <c r="AI8" i="4"/>
  <c r="AI7" i="4"/>
  <c r="AH17" i="4"/>
  <c r="AH16" i="4"/>
  <c r="AH15" i="4"/>
  <c r="AH14" i="4"/>
  <c r="AH13" i="4"/>
  <c r="AH12" i="4"/>
  <c r="AH11" i="4"/>
  <c r="AH10" i="4"/>
  <c r="AH9" i="4"/>
  <c r="AH8" i="4"/>
  <c r="AH7" i="4"/>
  <c r="AH6" i="4"/>
  <c r="AG17" i="4"/>
  <c r="AG16" i="4"/>
  <c r="AG15" i="4"/>
  <c r="AG14" i="4"/>
  <c r="AG13" i="4"/>
  <c r="AG12" i="4"/>
  <c r="AG11" i="4"/>
  <c r="AG10" i="4"/>
  <c r="AG9" i="4"/>
  <c r="AG8" i="4"/>
  <c r="AG7" i="4"/>
  <c r="AG6" i="4"/>
  <c r="AF17" i="4"/>
  <c r="AF16" i="4"/>
  <c r="AF15" i="4"/>
  <c r="AF14" i="4"/>
  <c r="AF13" i="4"/>
  <c r="AF12" i="4"/>
  <c r="AF11" i="4"/>
  <c r="AF10" i="4"/>
  <c r="AF9" i="4"/>
  <c r="AF8" i="4"/>
  <c r="AF7" i="4"/>
  <c r="AE17" i="4"/>
  <c r="AE16" i="4"/>
  <c r="AE15" i="4"/>
  <c r="AE14" i="4"/>
  <c r="AE13" i="4"/>
  <c r="AE12" i="4"/>
  <c r="AE11" i="4"/>
  <c r="AE10" i="4"/>
  <c r="AE9" i="4"/>
  <c r="AE8" i="4"/>
  <c r="AE7" i="4"/>
  <c r="AD17" i="4"/>
  <c r="H68" i="2" s="1"/>
  <c r="AD16" i="4"/>
  <c r="H67" i="2" s="1"/>
  <c r="AD15" i="4"/>
  <c r="H66" i="2" s="1"/>
  <c r="AD14" i="4"/>
  <c r="H65" i="2" s="1"/>
  <c r="AD13" i="4"/>
  <c r="H64" i="2" s="1"/>
  <c r="AD12" i="4"/>
  <c r="H63" i="2" s="1"/>
  <c r="AD11" i="4"/>
  <c r="H62" i="2" s="1"/>
  <c r="AD10" i="4"/>
  <c r="H61" i="2" s="1"/>
  <c r="AD9" i="4"/>
  <c r="H60" i="2" s="1"/>
  <c r="AD8" i="4"/>
  <c r="H59" i="2" s="1"/>
  <c r="AD7" i="4"/>
  <c r="H58" i="2" s="1"/>
  <c r="AD6" i="4"/>
  <c r="H57" i="2" s="1"/>
  <c r="AC17" i="4"/>
  <c r="G68" i="2" s="1"/>
  <c r="AC16" i="4"/>
  <c r="G67" i="2" s="1"/>
  <c r="AC15" i="4"/>
  <c r="G66" i="2" s="1"/>
  <c r="AC14" i="4"/>
  <c r="G65" i="2" s="1"/>
  <c r="AC13" i="4"/>
  <c r="G64" i="2" s="1"/>
  <c r="AC12" i="4"/>
  <c r="G63" i="2" s="1"/>
  <c r="AC11" i="4"/>
  <c r="G62" i="2" s="1"/>
  <c r="AC10" i="4"/>
  <c r="G61" i="2" s="1"/>
  <c r="AC9" i="4"/>
  <c r="G60" i="2" s="1"/>
  <c r="AC8" i="4"/>
  <c r="G59" i="2" s="1"/>
  <c r="AC7" i="4"/>
  <c r="G58" i="2" s="1"/>
  <c r="AC6" i="4"/>
  <c r="G57" i="2" s="1"/>
  <c r="AB17" i="4"/>
  <c r="H56" i="2" s="1"/>
  <c r="AB16" i="4"/>
  <c r="H55" i="2" s="1"/>
  <c r="AB15" i="4"/>
  <c r="H54" i="2" s="1"/>
  <c r="AB14" i="4"/>
  <c r="H53" i="2" s="1"/>
  <c r="AB13" i="4"/>
  <c r="H52" i="2" s="1"/>
  <c r="AB12" i="4"/>
  <c r="H51" i="2" s="1"/>
  <c r="AB11" i="4"/>
  <c r="H50" i="2" s="1"/>
  <c r="AB10" i="4"/>
  <c r="H49" i="2" s="1"/>
  <c r="AB9" i="4"/>
  <c r="H48" i="2" s="1"/>
  <c r="AB8" i="4"/>
  <c r="H47" i="2" s="1"/>
  <c r="AB7" i="4"/>
  <c r="H46" i="2" s="1"/>
  <c r="AA17" i="4"/>
  <c r="G56" i="2" s="1"/>
  <c r="AA16" i="4"/>
  <c r="G55" i="2" s="1"/>
  <c r="AA15" i="4"/>
  <c r="G54" i="2" s="1"/>
  <c r="AA14" i="4"/>
  <c r="G53" i="2" s="1"/>
  <c r="AA13" i="4"/>
  <c r="G52" i="2" s="1"/>
  <c r="AA12" i="4"/>
  <c r="G51" i="2" s="1"/>
  <c r="AA11" i="4"/>
  <c r="G50" i="2" s="1"/>
  <c r="AA10" i="4"/>
  <c r="G49" i="2" s="1"/>
  <c r="AA9" i="4"/>
  <c r="G48" i="2" s="1"/>
  <c r="AA8" i="4"/>
  <c r="G47" i="2" s="1"/>
  <c r="AA7" i="4"/>
  <c r="G46" i="2" s="1"/>
  <c r="Z17" i="4"/>
  <c r="H43" i="2" s="1"/>
  <c r="Z16" i="4"/>
  <c r="H42" i="2" s="1"/>
  <c r="Z15" i="4"/>
  <c r="H41" i="2" s="1"/>
  <c r="Z14" i="4"/>
  <c r="H40" i="2" s="1"/>
  <c r="Z13" i="4"/>
  <c r="H39" i="2" s="1"/>
  <c r="Z12" i="4"/>
  <c r="H38" i="2" s="1"/>
  <c r="Z11" i="4"/>
  <c r="H37" i="2" s="1"/>
  <c r="Z10" i="4"/>
  <c r="H36" i="2" s="1"/>
  <c r="Z9" i="4"/>
  <c r="H35" i="2" s="1"/>
  <c r="Z8" i="4"/>
  <c r="H34" i="2" s="1"/>
  <c r="Z7" i="4"/>
  <c r="H33" i="2" s="1"/>
  <c r="Z6" i="4"/>
  <c r="H32" i="2" s="1"/>
  <c r="Y17" i="4"/>
  <c r="G43" i="2" s="1"/>
  <c r="Y16" i="4"/>
  <c r="G42" i="2" s="1"/>
  <c r="Y15" i="4"/>
  <c r="G41" i="2" s="1"/>
  <c r="Y14" i="4"/>
  <c r="G40" i="2" s="1"/>
  <c r="Y13" i="4"/>
  <c r="G39" i="2" s="1"/>
  <c r="Y12" i="4"/>
  <c r="G38" i="2" s="1"/>
  <c r="Y11" i="4"/>
  <c r="G37" i="2" s="1"/>
  <c r="Y10" i="4"/>
  <c r="G36" i="2" s="1"/>
  <c r="Y9" i="4"/>
  <c r="G35" i="2" s="1"/>
  <c r="Y8" i="4"/>
  <c r="G34" i="2" s="1"/>
  <c r="Y7" i="4"/>
  <c r="G33" i="2" s="1"/>
  <c r="Y6" i="4"/>
  <c r="G32" i="2" s="1"/>
  <c r="X17" i="4"/>
  <c r="H31" i="2" s="1"/>
  <c r="X16" i="4"/>
  <c r="H30" i="2" s="1"/>
  <c r="X15" i="4"/>
  <c r="H29" i="2" s="1"/>
  <c r="X14" i="4"/>
  <c r="H28" i="2" s="1"/>
  <c r="X13" i="4"/>
  <c r="H27" i="2" s="1"/>
  <c r="X12" i="4"/>
  <c r="H26" i="2" s="1"/>
  <c r="X11" i="4"/>
  <c r="H25" i="2" s="1"/>
  <c r="X10" i="4"/>
  <c r="H24" i="2" s="1"/>
  <c r="X9" i="4"/>
  <c r="H23" i="2" s="1"/>
  <c r="X8" i="4"/>
  <c r="H22" i="2" s="1"/>
  <c r="X7" i="4"/>
  <c r="H21" i="2" s="1"/>
  <c r="W17" i="4"/>
  <c r="G31" i="2" s="1"/>
  <c r="W16" i="4"/>
  <c r="G30" i="2" s="1"/>
  <c r="W15" i="4"/>
  <c r="G29" i="2" s="1"/>
  <c r="W14" i="4"/>
  <c r="G28" i="2" s="1"/>
  <c r="W13" i="4"/>
  <c r="G27" i="2" s="1"/>
  <c r="W12" i="4"/>
  <c r="G26" i="2" s="1"/>
  <c r="W11" i="4"/>
  <c r="G25" i="2" s="1"/>
  <c r="W10" i="4"/>
  <c r="G24" i="2" s="1"/>
  <c r="W9" i="4"/>
  <c r="G23" i="2" s="1"/>
  <c r="W8" i="4"/>
  <c r="G22" i="2" s="1"/>
  <c r="W7" i="4"/>
  <c r="G21" i="2" s="1"/>
  <c r="U25" i="2"/>
  <c r="B8" i="2"/>
  <c r="B3" i="1"/>
  <c r="B2" i="1" a="1"/>
  <c r="B2" i="1" s="1"/>
  <c r="B1" i="1"/>
  <c r="B44" i="1" s="1"/>
  <c r="P104" i="6"/>
  <c r="I106" i="6" s="1"/>
  <c r="I108" i="6" s="1"/>
  <c r="Q103" i="6"/>
  <c r="P103" i="6"/>
  <c r="Q102" i="6"/>
  <c r="P102" i="6"/>
  <c r="Q101" i="6"/>
  <c r="P101" i="6"/>
  <c r="Q100" i="6"/>
  <c r="P100" i="6"/>
  <c r="Q99" i="6"/>
  <c r="P99" i="6"/>
  <c r="Q98" i="6"/>
  <c r="P98" i="6"/>
  <c r="Q97" i="6"/>
  <c r="P97" i="6"/>
  <c r="Q96" i="6"/>
  <c r="P96" i="6"/>
  <c r="Q95" i="6"/>
  <c r="P95" i="6"/>
  <c r="Q94" i="6"/>
  <c r="P94" i="6"/>
  <c r="Q93" i="6"/>
  <c r="P93" i="6"/>
  <c r="Q92" i="6"/>
  <c r="Q104" i="6" s="1"/>
  <c r="P92" i="6"/>
  <c r="Q79" i="6"/>
  <c r="P79" i="6"/>
  <c r="Q78" i="6"/>
  <c r="P78" i="6"/>
  <c r="Q77" i="6"/>
  <c r="P77" i="6"/>
  <c r="Q76" i="6"/>
  <c r="P76" i="6"/>
  <c r="Q75" i="6"/>
  <c r="P75" i="6"/>
  <c r="Q74" i="6"/>
  <c r="P74" i="6"/>
  <c r="Q73" i="6"/>
  <c r="P73" i="6"/>
  <c r="Q72" i="6"/>
  <c r="P72" i="6"/>
  <c r="Q71" i="6"/>
  <c r="P71" i="6"/>
  <c r="Q70" i="6"/>
  <c r="P70" i="6"/>
  <c r="Q69" i="6"/>
  <c r="P69" i="6"/>
  <c r="Q68" i="6"/>
  <c r="Q80" i="6" s="1"/>
  <c r="P68" i="6"/>
  <c r="P80" i="6" s="1"/>
  <c r="I82" i="6" s="1"/>
  <c r="I84" i="6" s="1"/>
  <c r="Q55" i="6"/>
  <c r="P55" i="6"/>
  <c r="Q54" i="6"/>
  <c r="P54" i="6"/>
  <c r="Q53" i="6"/>
  <c r="P53" i="6"/>
  <c r="Q52" i="6"/>
  <c r="P52" i="6"/>
  <c r="Q51" i="6"/>
  <c r="P51" i="6"/>
  <c r="Q50" i="6"/>
  <c r="P50" i="6"/>
  <c r="Q49" i="6"/>
  <c r="P49" i="6"/>
  <c r="Q48" i="6"/>
  <c r="P48" i="6"/>
  <c r="Q47" i="6"/>
  <c r="P47" i="6"/>
  <c r="Q46" i="6"/>
  <c r="P46" i="6"/>
  <c r="Q45" i="6"/>
  <c r="P45" i="6"/>
  <c r="Q44" i="6"/>
  <c r="P44" i="6"/>
  <c r="I107" i="6"/>
  <c r="I83" i="6"/>
  <c r="C106" i="6"/>
  <c r="C82" i="6"/>
  <c r="C58" i="6"/>
  <c r="I59" i="6"/>
  <c r="I35" i="6"/>
  <c r="C34" i="6"/>
  <c r="Q31" i="6"/>
  <c r="P31" i="6"/>
  <c r="Q30" i="6"/>
  <c r="P30" i="6"/>
  <c r="Q29" i="6"/>
  <c r="P29" i="6"/>
  <c r="Q28" i="6"/>
  <c r="P28" i="6"/>
  <c r="Q27" i="6"/>
  <c r="P27" i="6"/>
  <c r="Q26" i="6"/>
  <c r="P26" i="6"/>
  <c r="Q25" i="6"/>
  <c r="P25" i="6"/>
  <c r="Q24" i="6"/>
  <c r="P24" i="6"/>
  <c r="Q23" i="6"/>
  <c r="P23" i="6"/>
  <c r="Q22" i="6"/>
  <c r="P22" i="6"/>
  <c r="Q21" i="6"/>
  <c r="P21" i="6"/>
  <c r="Q20" i="6"/>
  <c r="P20" i="6"/>
  <c r="Z33" i="2"/>
  <c r="Y33" i="2"/>
  <c r="Q56" i="6" l="1"/>
  <c r="H2" i="1"/>
  <c r="U12" i="2" s="1"/>
  <c r="P56" i="6"/>
  <c r="I60" i="6" s="1"/>
  <c r="P32" i="6"/>
  <c r="Q32" i="6"/>
  <c r="I9" i="6"/>
  <c r="F8" i="6"/>
  <c r="F9" i="6"/>
  <c r="H144" i="2"/>
  <c r="H143" i="2"/>
  <c r="H142" i="2"/>
  <c r="H141" i="2"/>
  <c r="H140" i="2"/>
  <c r="H139" i="2"/>
  <c r="H138" i="2"/>
  <c r="H137" i="2"/>
  <c r="H136" i="2"/>
  <c r="H135" i="2"/>
  <c r="H134" i="2"/>
  <c r="H133" i="2"/>
  <c r="H132" i="2"/>
  <c r="H131" i="2"/>
  <c r="H130" i="2"/>
  <c r="H129" i="2"/>
  <c r="H128" i="2"/>
  <c r="H127" i="2"/>
  <c r="H126" i="2"/>
  <c r="H125" i="2"/>
  <c r="H124" i="2"/>
  <c r="H123" i="2"/>
  <c r="H122" i="2"/>
  <c r="H121" i="2"/>
  <c r="G121" i="2"/>
  <c r="B121" i="2"/>
  <c r="B119" i="2"/>
  <c r="H119" i="2"/>
  <c r="B118" i="2"/>
  <c r="B117" i="2"/>
  <c r="B116" i="2"/>
  <c r="B115" i="2"/>
  <c r="B114" i="2"/>
  <c r="B113" i="2"/>
  <c r="B112" i="2"/>
  <c r="B111" i="2"/>
  <c r="B110" i="2"/>
  <c r="B109" i="2"/>
  <c r="B108" i="2"/>
  <c r="B107" i="2"/>
  <c r="H118" i="2"/>
  <c r="G118" i="2"/>
  <c r="H117" i="2"/>
  <c r="G117" i="2"/>
  <c r="H116" i="2"/>
  <c r="G116" i="2"/>
  <c r="H115" i="2"/>
  <c r="G115" i="2"/>
  <c r="H114" i="2"/>
  <c r="G114" i="2"/>
  <c r="H113" i="2"/>
  <c r="G113" i="2"/>
  <c r="H112" i="2"/>
  <c r="G112" i="2"/>
  <c r="H111" i="2"/>
  <c r="G111" i="2"/>
  <c r="H110" i="2"/>
  <c r="G110" i="2"/>
  <c r="H109" i="2"/>
  <c r="G109" i="2"/>
  <c r="H108" i="2"/>
  <c r="G108" i="2"/>
  <c r="H107" i="2"/>
  <c r="G107" i="2"/>
  <c r="B106" i="2"/>
  <c r="B105" i="2"/>
  <c r="B104" i="2"/>
  <c r="B103" i="2"/>
  <c r="B102" i="2"/>
  <c r="B101" i="2"/>
  <c r="B100" i="2"/>
  <c r="B99" i="2"/>
  <c r="B98" i="2"/>
  <c r="B97" i="2"/>
  <c r="B96" i="2"/>
  <c r="H106" i="2"/>
  <c r="G106" i="2"/>
  <c r="H105" i="2"/>
  <c r="G105" i="2"/>
  <c r="H104" i="2"/>
  <c r="G104" i="2"/>
  <c r="H103" i="2"/>
  <c r="G103" i="2"/>
  <c r="H102" i="2"/>
  <c r="G102" i="2"/>
  <c r="H101" i="2"/>
  <c r="G101" i="2"/>
  <c r="H100" i="2"/>
  <c r="G100" i="2"/>
  <c r="H99" i="2"/>
  <c r="G99" i="2"/>
  <c r="H98" i="2"/>
  <c r="G98" i="2"/>
  <c r="H97" i="2"/>
  <c r="G97" i="2"/>
  <c r="H96" i="2"/>
  <c r="G96" i="2"/>
  <c r="N144" i="2"/>
  <c r="Q144" i="2" s="1"/>
  <c r="M121" i="2"/>
  <c r="L121" i="2"/>
  <c r="K121" i="2"/>
  <c r="J121" i="2"/>
  <c r="N119" i="2"/>
  <c r="Q119" i="2" s="1"/>
  <c r="N94" i="2"/>
  <c r="Q94" i="2" s="1"/>
  <c r="N69" i="2"/>
  <c r="N44" i="2"/>
  <c r="M96" i="2"/>
  <c r="L96" i="2"/>
  <c r="K96" i="2"/>
  <c r="J96" i="2"/>
  <c r="B94" i="2"/>
  <c r="B93" i="2"/>
  <c r="B92" i="2"/>
  <c r="B91" i="2"/>
  <c r="B90" i="2"/>
  <c r="B89" i="2"/>
  <c r="B88" i="2"/>
  <c r="B87" i="2"/>
  <c r="B86" i="2"/>
  <c r="B85" i="2"/>
  <c r="B84" i="2"/>
  <c r="B83" i="2"/>
  <c r="B82" i="2"/>
  <c r="H93" i="2"/>
  <c r="O93" i="2" s="1"/>
  <c r="R93" i="2" s="1"/>
  <c r="G93" i="2"/>
  <c r="N93" i="2" s="1"/>
  <c r="Q93" i="2" s="1"/>
  <c r="H92" i="2"/>
  <c r="O92" i="2" s="1"/>
  <c r="R92" i="2" s="1"/>
  <c r="G92" i="2"/>
  <c r="N92" i="2" s="1"/>
  <c r="Q92" i="2" s="1"/>
  <c r="H91" i="2"/>
  <c r="O91" i="2" s="1"/>
  <c r="R91" i="2" s="1"/>
  <c r="G91" i="2"/>
  <c r="N91" i="2" s="1"/>
  <c r="Q91" i="2" s="1"/>
  <c r="H90" i="2"/>
  <c r="O90" i="2" s="1"/>
  <c r="R90" i="2" s="1"/>
  <c r="G90" i="2"/>
  <c r="N90" i="2" s="1"/>
  <c r="Q90" i="2" s="1"/>
  <c r="H89" i="2"/>
  <c r="O89" i="2" s="1"/>
  <c r="R89" i="2" s="1"/>
  <c r="G89" i="2"/>
  <c r="N89" i="2" s="1"/>
  <c r="Q89" i="2" s="1"/>
  <c r="H88" i="2"/>
  <c r="O88" i="2" s="1"/>
  <c r="R88" i="2" s="1"/>
  <c r="G88" i="2"/>
  <c r="N88" i="2" s="1"/>
  <c r="Q88" i="2" s="1"/>
  <c r="H87" i="2"/>
  <c r="O87" i="2" s="1"/>
  <c r="R87" i="2" s="1"/>
  <c r="G87" i="2"/>
  <c r="N87" i="2" s="1"/>
  <c r="Q87" i="2" s="1"/>
  <c r="H86" i="2"/>
  <c r="G86" i="2"/>
  <c r="H85" i="2"/>
  <c r="G85" i="2"/>
  <c r="H84" i="2"/>
  <c r="G84" i="2"/>
  <c r="H83" i="2"/>
  <c r="G83" i="2"/>
  <c r="H82" i="2"/>
  <c r="G82" i="2"/>
  <c r="M71" i="2"/>
  <c r="L71" i="2"/>
  <c r="K71" i="2"/>
  <c r="J71" i="2"/>
  <c r="H71" i="2"/>
  <c r="G71" i="2"/>
  <c r="B71" i="2"/>
  <c r="M46" i="2"/>
  <c r="L46" i="2"/>
  <c r="K46" i="2"/>
  <c r="J46" i="2"/>
  <c r="M21" i="2"/>
  <c r="L21" i="2"/>
  <c r="K21" i="2"/>
  <c r="J21" i="2"/>
  <c r="B81" i="2"/>
  <c r="B80" i="2"/>
  <c r="B79" i="2"/>
  <c r="B78" i="2"/>
  <c r="B77" i="2"/>
  <c r="B76" i="2"/>
  <c r="B75" i="2"/>
  <c r="B74" i="2"/>
  <c r="B73" i="2"/>
  <c r="B72" i="2"/>
  <c r="H81" i="2"/>
  <c r="O81" i="2" s="1"/>
  <c r="R81" i="2" s="1"/>
  <c r="G81" i="2"/>
  <c r="N81" i="2" s="1"/>
  <c r="Q81" i="2" s="1"/>
  <c r="H80" i="2"/>
  <c r="O80" i="2" s="1"/>
  <c r="G80" i="2"/>
  <c r="N80" i="2" s="1"/>
  <c r="H79" i="2"/>
  <c r="O79" i="2" s="1"/>
  <c r="G79" i="2"/>
  <c r="N79" i="2" s="1"/>
  <c r="H78" i="2"/>
  <c r="O78" i="2" s="1"/>
  <c r="G78" i="2"/>
  <c r="N78" i="2" s="1"/>
  <c r="H77" i="2"/>
  <c r="O77" i="2" s="1"/>
  <c r="G77" i="2"/>
  <c r="N77" i="2" s="1"/>
  <c r="H76" i="2"/>
  <c r="O76" i="2" s="1"/>
  <c r="G76" i="2"/>
  <c r="N76" i="2" s="1"/>
  <c r="H75" i="2"/>
  <c r="O75" i="2" s="1"/>
  <c r="G75" i="2"/>
  <c r="N75" i="2" s="1"/>
  <c r="H74" i="2"/>
  <c r="G74" i="2"/>
  <c r="H73" i="2"/>
  <c r="G73" i="2"/>
  <c r="H72" i="2"/>
  <c r="G72" i="2"/>
  <c r="I34" i="6" l="1"/>
  <c r="I8" i="6" s="1"/>
  <c r="F2" i="1" s="1"/>
  <c r="M144" i="2"/>
  <c r="L144" i="2"/>
  <c r="K144" i="2"/>
  <c r="J144" i="2"/>
  <c r="M143" i="2"/>
  <c r="L143" i="2"/>
  <c r="K143" i="2"/>
  <c r="J143" i="2"/>
  <c r="M142" i="2"/>
  <c r="L142" i="2"/>
  <c r="K142" i="2"/>
  <c r="J142" i="2"/>
  <c r="M141" i="2"/>
  <c r="L141" i="2"/>
  <c r="K141" i="2"/>
  <c r="J141" i="2"/>
  <c r="M140" i="2"/>
  <c r="L140" i="2"/>
  <c r="K140" i="2"/>
  <c r="J140" i="2"/>
  <c r="M139" i="2"/>
  <c r="L139" i="2"/>
  <c r="K139" i="2"/>
  <c r="J139" i="2"/>
  <c r="M138" i="2"/>
  <c r="L138" i="2"/>
  <c r="K138" i="2"/>
  <c r="J138" i="2"/>
  <c r="M137" i="2"/>
  <c r="L137" i="2"/>
  <c r="K137" i="2"/>
  <c r="J137" i="2"/>
  <c r="M136" i="2"/>
  <c r="L136" i="2"/>
  <c r="K136" i="2"/>
  <c r="J136" i="2"/>
  <c r="M135" i="2"/>
  <c r="L135" i="2"/>
  <c r="K135" i="2"/>
  <c r="J135" i="2"/>
  <c r="M134" i="2"/>
  <c r="L134" i="2"/>
  <c r="K134" i="2"/>
  <c r="J134" i="2"/>
  <c r="M133" i="2"/>
  <c r="L133" i="2"/>
  <c r="K133" i="2"/>
  <c r="J133" i="2"/>
  <c r="M132" i="2"/>
  <c r="L132" i="2"/>
  <c r="K132" i="2"/>
  <c r="J132" i="2"/>
  <c r="M131" i="2"/>
  <c r="L131" i="2"/>
  <c r="K131" i="2"/>
  <c r="J131" i="2"/>
  <c r="O131" i="2"/>
  <c r="R131" i="2" s="1"/>
  <c r="N131" i="2"/>
  <c r="Q131" i="2" s="1"/>
  <c r="M130" i="2"/>
  <c r="L130" i="2"/>
  <c r="K130" i="2"/>
  <c r="J130" i="2"/>
  <c r="O130" i="2"/>
  <c r="R130" i="2" s="1"/>
  <c r="N130" i="2"/>
  <c r="Q130" i="2" s="1"/>
  <c r="M129" i="2"/>
  <c r="L129" i="2"/>
  <c r="K129" i="2"/>
  <c r="J129" i="2"/>
  <c r="O129" i="2"/>
  <c r="R129" i="2" s="1"/>
  <c r="N129" i="2"/>
  <c r="Q129" i="2" s="1"/>
  <c r="M128" i="2"/>
  <c r="L128" i="2"/>
  <c r="K128" i="2"/>
  <c r="J128" i="2"/>
  <c r="O128" i="2"/>
  <c r="R128" i="2" s="1"/>
  <c r="N128" i="2"/>
  <c r="Q128" i="2" s="1"/>
  <c r="M127" i="2"/>
  <c r="L127" i="2"/>
  <c r="K127" i="2"/>
  <c r="J127" i="2"/>
  <c r="O127" i="2"/>
  <c r="R127" i="2" s="1"/>
  <c r="N127" i="2"/>
  <c r="Q127" i="2" s="1"/>
  <c r="M126" i="2"/>
  <c r="L126" i="2"/>
  <c r="K126" i="2"/>
  <c r="J126" i="2"/>
  <c r="M125" i="2"/>
  <c r="L125" i="2"/>
  <c r="K125" i="2"/>
  <c r="J125" i="2"/>
  <c r="M124" i="2"/>
  <c r="L124" i="2"/>
  <c r="K124" i="2"/>
  <c r="J124" i="2"/>
  <c r="M123" i="2"/>
  <c r="L123" i="2"/>
  <c r="K123" i="2"/>
  <c r="J123" i="2"/>
  <c r="M122" i="2"/>
  <c r="L122" i="2"/>
  <c r="K122" i="2"/>
  <c r="J122" i="2"/>
  <c r="M119" i="2"/>
  <c r="L119" i="2"/>
  <c r="K119" i="2"/>
  <c r="J119" i="2"/>
  <c r="M118" i="2"/>
  <c r="L118" i="2"/>
  <c r="K118" i="2"/>
  <c r="J118" i="2"/>
  <c r="M117" i="2"/>
  <c r="L117" i="2"/>
  <c r="K117" i="2"/>
  <c r="J117" i="2"/>
  <c r="M116" i="2"/>
  <c r="L116" i="2"/>
  <c r="K116" i="2"/>
  <c r="J116" i="2"/>
  <c r="M115" i="2"/>
  <c r="L115" i="2"/>
  <c r="K115" i="2"/>
  <c r="J115" i="2"/>
  <c r="M114" i="2"/>
  <c r="L114" i="2"/>
  <c r="K114" i="2"/>
  <c r="J114" i="2"/>
  <c r="M113" i="2"/>
  <c r="L113" i="2"/>
  <c r="K113" i="2"/>
  <c r="J113" i="2"/>
  <c r="N113" i="2"/>
  <c r="Q113" i="2" s="1"/>
  <c r="M112" i="2"/>
  <c r="L112" i="2"/>
  <c r="K112" i="2"/>
  <c r="J112" i="2"/>
  <c r="O112" i="2"/>
  <c r="R112" i="2" s="1"/>
  <c r="N112" i="2"/>
  <c r="Q112" i="2" s="1"/>
  <c r="M111" i="2"/>
  <c r="L111" i="2"/>
  <c r="K111" i="2"/>
  <c r="J111" i="2"/>
  <c r="M110" i="2"/>
  <c r="L110" i="2"/>
  <c r="K110" i="2"/>
  <c r="J110" i="2"/>
  <c r="M109" i="2"/>
  <c r="L109" i="2"/>
  <c r="K109" i="2"/>
  <c r="J109" i="2"/>
  <c r="M108" i="2"/>
  <c r="L108" i="2"/>
  <c r="K108" i="2"/>
  <c r="J108" i="2"/>
  <c r="M107" i="2"/>
  <c r="L107" i="2"/>
  <c r="K107" i="2"/>
  <c r="J107" i="2"/>
  <c r="M106" i="2"/>
  <c r="L106" i="2"/>
  <c r="K106" i="2"/>
  <c r="J106" i="2"/>
  <c r="M105" i="2"/>
  <c r="L105" i="2"/>
  <c r="K105" i="2"/>
  <c r="J105" i="2"/>
  <c r="M104" i="2"/>
  <c r="L104" i="2"/>
  <c r="K104" i="2"/>
  <c r="J104" i="2"/>
  <c r="O104" i="2"/>
  <c r="R104" i="2" s="1"/>
  <c r="N104" i="2"/>
  <c r="Q104" i="2" s="1"/>
  <c r="M103" i="2"/>
  <c r="L103" i="2"/>
  <c r="K103" i="2"/>
  <c r="J103" i="2"/>
  <c r="O103" i="2"/>
  <c r="R103" i="2" s="1"/>
  <c r="N103" i="2"/>
  <c r="Q103" i="2" s="1"/>
  <c r="M102" i="2"/>
  <c r="L102" i="2"/>
  <c r="K102" i="2"/>
  <c r="J102" i="2"/>
  <c r="M101" i="2"/>
  <c r="L101" i="2"/>
  <c r="K101" i="2"/>
  <c r="J101" i="2"/>
  <c r="N101" i="2"/>
  <c r="Q101" i="2" s="1"/>
  <c r="M100" i="2"/>
  <c r="L100" i="2"/>
  <c r="K100" i="2"/>
  <c r="J100" i="2"/>
  <c r="O100" i="2"/>
  <c r="R100" i="2" s="1"/>
  <c r="N100" i="2"/>
  <c r="Q100" i="2" s="1"/>
  <c r="M99" i="2"/>
  <c r="L99" i="2"/>
  <c r="K99" i="2"/>
  <c r="J99" i="2"/>
  <c r="M98" i="2"/>
  <c r="L98" i="2"/>
  <c r="K98" i="2"/>
  <c r="J98" i="2"/>
  <c r="M97" i="2"/>
  <c r="L97" i="2"/>
  <c r="K97" i="2"/>
  <c r="J97" i="2"/>
  <c r="I36" i="6" l="1"/>
  <c r="I12" i="6"/>
  <c r="I13" i="6" s="1"/>
  <c r="U11" i="2"/>
  <c r="M93" i="2"/>
  <c r="L93" i="2"/>
  <c r="K93" i="2"/>
  <c r="J93" i="2"/>
  <c r="M81" i="2"/>
  <c r="L81" i="2"/>
  <c r="K81" i="2"/>
  <c r="J81" i="2"/>
  <c r="M68" i="2"/>
  <c r="L68" i="2"/>
  <c r="K68" i="2"/>
  <c r="J68" i="2"/>
  <c r="M56" i="2"/>
  <c r="L56" i="2"/>
  <c r="K56" i="2"/>
  <c r="J56" i="2"/>
  <c r="M43" i="2"/>
  <c r="L43" i="2"/>
  <c r="K43" i="2"/>
  <c r="J43" i="2"/>
  <c r="M31" i="2"/>
  <c r="L31" i="2"/>
  <c r="K31" i="2"/>
  <c r="J31" i="2"/>
  <c r="R3" i="4"/>
  <c r="O11" i="2" l="1"/>
  <c r="I121" i="2" s="1"/>
  <c r="H94" i="2"/>
  <c r="I71" i="2" l="1"/>
  <c r="I96" i="2"/>
  <c r="I21" i="2"/>
  <c r="I46" i="2"/>
  <c r="I141" i="2"/>
  <c r="I133" i="2"/>
  <c r="I125" i="2"/>
  <c r="I116" i="2"/>
  <c r="I108" i="2"/>
  <c r="I100" i="2"/>
  <c r="I128" i="2"/>
  <c r="I111" i="2"/>
  <c r="I103" i="2"/>
  <c r="I140" i="2"/>
  <c r="I132" i="2"/>
  <c r="I124" i="2"/>
  <c r="I99" i="2"/>
  <c r="I142" i="2"/>
  <c r="I134" i="2"/>
  <c r="I126" i="2"/>
  <c r="I117" i="2"/>
  <c r="I109" i="2"/>
  <c r="I101" i="2"/>
  <c r="I136" i="2"/>
  <c r="I115" i="2"/>
  <c r="I143" i="2"/>
  <c r="I135" i="2"/>
  <c r="I127" i="2"/>
  <c r="I118" i="2"/>
  <c r="I110" i="2"/>
  <c r="I102" i="2"/>
  <c r="I105" i="2"/>
  <c r="I97" i="2"/>
  <c r="I139" i="2"/>
  <c r="I98" i="2"/>
  <c r="I107" i="2"/>
  <c r="I144" i="2"/>
  <c r="I137" i="2"/>
  <c r="I129" i="2"/>
  <c r="I119" i="2"/>
  <c r="I112" i="2"/>
  <c r="I104" i="2"/>
  <c r="I138" i="2"/>
  <c r="I130" i="2"/>
  <c r="I122" i="2"/>
  <c r="I113" i="2"/>
  <c r="I131" i="2"/>
  <c r="I123" i="2"/>
  <c r="I114" i="2"/>
  <c r="I106" i="2"/>
  <c r="I43" i="2"/>
  <c r="I81" i="2"/>
  <c r="I56" i="2"/>
  <c r="I93" i="2"/>
  <c r="I31" i="2"/>
  <c r="I68" i="2"/>
  <c r="M94" i="2"/>
  <c r="L94" i="2"/>
  <c r="K94" i="2"/>
  <c r="J94" i="2"/>
  <c r="M92" i="2"/>
  <c r="L92" i="2"/>
  <c r="K92" i="2"/>
  <c r="J92" i="2"/>
  <c r="M91" i="2"/>
  <c r="L91" i="2"/>
  <c r="K91" i="2"/>
  <c r="J91" i="2"/>
  <c r="M90" i="2"/>
  <c r="L90" i="2"/>
  <c r="K90" i="2"/>
  <c r="J90" i="2"/>
  <c r="M89" i="2"/>
  <c r="L89" i="2"/>
  <c r="K89" i="2"/>
  <c r="J89" i="2"/>
  <c r="M88" i="2"/>
  <c r="L88" i="2"/>
  <c r="K88" i="2"/>
  <c r="J88" i="2"/>
  <c r="M87" i="2"/>
  <c r="L87" i="2"/>
  <c r="K87" i="2"/>
  <c r="J87" i="2"/>
  <c r="M86" i="2"/>
  <c r="L86" i="2"/>
  <c r="K86" i="2"/>
  <c r="J86" i="2"/>
  <c r="M85" i="2"/>
  <c r="L85" i="2"/>
  <c r="K85" i="2"/>
  <c r="J85" i="2"/>
  <c r="M84" i="2"/>
  <c r="L84" i="2"/>
  <c r="K84" i="2"/>
  <c r="J84" i="2"/>
  <c r="M83" i="2"/>
  <c r="L83" i="2"/>
  <c r="K83" i="2"/>
  <c r="J83" i="2"/>
  <c r="M82" i="2"/>
  <c r="L82" i="2"/>
  <c r="K82" i="2"/>
  <c r="J82" i="2"/>
  <c r="M80" i="2"/>
  <c r="L80" i="2"/>
  <c r="K80" i="2"/>
  <c r="J80" i="2"/>
  <c r="M79" i="2"/>
  <c r="L79" i="2"/>
  <c r="K79" i="2"/>
  <c r="J79" i="2"/>
  <c r="M78" i="2"/>
  <c r="L78" i="2"/>
  <c r="K78" i="2"/>
  <c r="J78" i="2"/>
  <c r="M77" i="2"/>
  <c r="L77" i="2"/>
  <c r="K77" i="2"/>
  <c r="J77" i="2"/>
  <c r="M76" i="2"/>
  <c r="L76" i="2"/>
  <c r="K76" i="2"/>
  <c r="J76" i="2"/>
  <c r="M75" i="2"/>
  <c r="L75" i="2"/>
  <c r="K75" i="2"/>
  <c r="J75" i="2"/>
  <c r="M74" i="2"/>
  <c r="L74" i="2"/>
  <c r="K74" i="2"/>
  <c r="J74" i="2"/>
  <c r="M73" i="2"/>
  <c r="L73" i="2"/>
  <c r="K73" i="2"/>
  <c r="J73" i="2"/>
  <c r="M72" i="2"/>
  <c r="L72" i="2"/>
  <c r="K72" i="2"/>
  <c r="J72" i="2"/>
  <c r="M69" i="2" l="1"/>
  <c r="L69" i="2"/>
  <c r="K69" i="2"/>
  <c r="J69" i="2"/>
  <c r="M67" i="2"/>
  <c r="L67" i="2"/>
  <c r="K67" i="2"/>
  <c r="J67" i="2"/>
  <c r="M66" i="2"/>
  <c r="L66" i="2"/>
  <c r="K66" i="2"/>
  <c r="J66" i="2"/>
  <c r="M65" i="2"/>
  <c r="L65" i="2"/>
  <c r="K65" i="2"/>
  <c r="J65" i="2"/>
  <c r="M64" i="2"/>
  <c r="L64" i="2"/>
  <c r="K64" i="2"/>
  <c r="J64" i="2"/>
  <c r="M63" i="2"/>
  <c r="L63" i="2"/>
  <c r="K63" i="2"/>
  <c r="J63" i="2"/>
  <c r="M62" i="2"/>
  <c r="L62" i="2"/>
  <c r="K62" i="2"/>
  <c r="J62" i="2"/>
  <c r="M61" i="2"/>
  <c r="L61" i="2"/>
  <c r="K61" i="2"/>
  <c r="J61" i="2"/>
  <c r="M60" i="2"/>
  <c r="L60" i="2"/>
  <c r="K60" i="2"/>
  <c r="J60" i="2"/>
  <c r="M59" i="2"/>
  <c r="L59" i="2"/>
  <c r="K59" i="2"/>
  <c r="J59" i="2"/>
  <c r="M58" i="2"/>
  <c r="L58" i="2"/>
  <c r="K58" i="2"/>
  <c r="J58" i="2"/>
  <c r="M57" i="2"/>
  <c r="L57" i="2"/>
  <c r="K57" i="2"/>
  <c r="J57" i="2"/>
  <c r="M55" i="2"/>
  <c r="L55" i="2"/>
  <c r="K55" i="2"/>
  <c r="J55" i="2"/>
  <c r="M54" i="2"/>
  <c r="L54" i="2"/>
  <c r="K54" i="2"/>
  <c r="J54" i="2"/>
  <c r="M53" i="2"/>
  <c r="L53" i="2"/>
  <c r="K53" i="2"/>
  <c r="J53" i="2"/>
  <c r="M52" i="2"/>
  <c r="L52" i="2"/>
  <c r="K52" i="2"/>
  <c r="J52" i="2"/>
  <c r="M51" i="2"/>
  <c r="L51" i="2"/>
  <c r="K51" i="2"/>
  <c r="J51" i="2"/>
  <c r="M50" i="2"/>
  <c r="L50" i="2"/>
  <c r="K50" i="2"/>
  <c r="J50" i="2"/>
  <c r="M49" i="2"/>
  <c r="L49" i="2"/>
  <c r="K49" i="2"/>
  <c r="J49" i="2"/>
  <c r="M48" i="2"/>
  <c r="L48" i="2"/>
  <c r="K48" i="2"/>
  <c r="J48" i="2"/>
  <c r="M47" i="2"/>
  <c r="L47" i="2"/>
  <c r="K47" i="2"/>
  <c r="J47" i="2"/>
  <c r="M44" i="2"/>
  <c r="L44" i="2"/>
  <c r="K44" i="2"/>
  <c r="J44" i="2"/>
  <c r="N92" i="4" l="1"/>
  <c r="P92" i="4"/>
  <c r="Q92" i="4" s="1"/>
  <c r="N132" i="4"/>
  <c r="P132" i="4"/>
  <c r="Q132" i="4" s="1"/>
  <c r="N164" i="4"/>
  <c r="P164" i="4"/>
  <c r="Q164" i="4" s="1"/>
  <c r="N196" i="4"/>
  <c r="P196" i="4"/>
  <c r="Q196" i="4" s="1"/>
  <c r="N236" i="4"/>
  <c r="P236" i="4"/>
  <c r="Q236" i="4" s="1"/>
  <c r="N268" i="4"/>
  <c r="P268" i="4"/>
  <c r="Q268" i="4" s="1"/>
  <c r="N300" i="4"/>
  <c r="P300" i="4"/>
  <c r="Q300" i="4" s="1"/>
  <c r="N324" i="4"/>
  <c r="P324" i="4"/>
  <c r="Q324" i="4" s="1"/>
  <c r="N356" i="4"/>
  <c r="P356" i="4"/>
  <c r="Q356" i="4" s="1"/>
  <c r="N388" i="4"/>
  <c r="P388" i="4"/>
  <c r="Q388" i="4" s="1"/>
  <c r="N420" i="4"/>
  <c r="P420" i="4"/>
  <c r="Q420" i="4" s="1"/>
  <c r="N460" i="4"/>
  <c r="P460" i="4"/>
  <c r="Q460" i="4" s="1"/>
  <c r="N484" i="4"/>
  <c r="P484" i="4"/>
  <c r="Q484" i="4" s="1"/>
  <c r="N101" i="4"/>
  <c r="P101" i="4"/>
  <c r="Q101" i="4" s="1"/>
  <c r="N117" i="4"/>
  <c r="P117" i="4"/>
  <c r="Q117" i="4" s="1"/>
  <c r="N149" i="4"/>
  <c r="P149" i="4"/>
  <c r="Q149" i="4" s="1"/>
  <c r="N181" i="4"/>
  <c r="P181" i="4"/>
  <c r="Q181" i="4" s="1"/>
  <c r="N205" i="4"/>
  <c r="P205" i="4"/>
  <c r="Q205" i="4" s="1"/>
  <c r="N237" i="4"/>
  <c r="P237" i="4"/>
  <c r="Q237" i="4" s="1"/>
  <c r="N269" i="4"/>
  <c r="P269" i="4"/>
  <c r="Q269" i="4" s="1"/>
  <c r="N309" i="4"/>
  <c r="P309" i="4"/>
  <c r="Q309" i="4" s="1"/>
  <c r="N341" i="4"/>
  <c r="P341" i="4"/>
  <c r="Q341" i="4" s="1"/>
  <c r="N373" i="4"/>
  <c r="P373" i="4"/>
  <c r="Q373" i="4" s="1"/>
  <c r="N429" i="4"/>
  <c r="P429" i="4"/>
  <c r="Q429" i="4" s="1"/>
  <c r="N469" i="4"/>
  <c r="P469" i="4"/>
  <c r="Q469" i="4" s="1"/>
  <c r="N94" i="4"/>
  <c r="P94" i="4"/>
  <c r="Q94" i="4" s="1"/>
  <c r="N134" i="4"/>
  <c r="P134" i="4"/>
  <c r="Q134" i="4" s="1"/>
  <c r="N166" i="4"/>
  <c r="P166" i="4"/>
  <c r="Q166" i="4" s="1"/>
  <c r="N182" i="4"/>
  <c r="P182" i="4"/>
  <c r="Q182" i="4" s="1"/>
  <c r="N222" i="4"/>
  <c r="P222" i="4"/>
  <c r="Q222" i="4" s="1"/>
  <c r="N254" i="4"/>
  <c r="P254" i="4"/>
  <c r="Q254" i="4" s="1"/>
  <c r="N286" i="4"/>
  <c r="P286" i="4"/>
  <c r="Q286" i="4" s="1"/>
  <c r="N326" i="4"/>
  <c r="P326" i="4"/>
  <c r="Q326" i="4" s="1"/>
  <c r="N366" i="4"/>
  <c r="P366" i="4"/>
  <c r="Q366" i="4" s="1"/>
  <c r="N398" i="4"/>
  <c r="P398" i="4"/>
  <c r="Q398" i="4" s="1"/>
  <c r="N430" i="4"/>
  <c r="P430" i="4"/>
  <c r="Q430" i="4" s="1"/>
  <c r="N478" i="4"/>
  <c r="P478" i="4"/>
  <c r="Q478" i="4" s="1"/>
  <c r="N103" i="4"/>
  <c r="P103" i="4"/>
  <c r="Q103" i="4" s="1"/>
  <c r="N135" i="4"/>
  <c r="P135" i="4"/>
  <c r="Q135" i="4" s="1"/>
  <c r="N151" i="4"/>
  <c r="P151" i="4"/>
  <c r="Q151" i="4" s="1"/>
  <c r="N183" i="4"/>
  <c r="P183" i="4"/>
  <c r="Q183" i="4" s="1"/>
  <c r="N207" i="4"/>
  <c r="P207" i="4"/>
  <c r="Q207" i="4" s="1"/>
  <c r="N239" i="4"/>
  <c r="P239" i="4"/>
  <c r="Q239" i="4" s="1"/>
  <c r="N263" i="4"/>
  <c r="P263" i="4"/>
  <c r="Q263" i="4" s="1"/>
  <c r="N303" i="4"/>
  <c r="P303" i="4"/>
  <c r="Q303" i="4" s="1"/>
  <c r="N335" i="4"/>
  <c r="P335" i="4"/>
  <c r="Q335" i="4" s="1"/>
  <c r="N367" i="4"/>
  <c r="P367" i="4"/>
  <c r="Q367" i="4" s="1"/>
  <c r="N407" i="4"/>
  <c r="P407" i="4"/>
  <c r="Q407" i="4" s="1"/>
  <c r="N423" i="4"/>
  <c r="P423" i="4"/>
  <c r="Q423" i="4" s="1"/>
  <c r="N447" i="4"/>
  <c r="P447" i="4"/>
  <c r="Q447" i="4" s="1"/>
  <c r="N455" i="4"/>
  <c r="P455" i="4"/>
  <c r="Q455" i="4" s="1"/>
  <c r="N463" i="4"/>
  <c r="P463" i="4"/>
  <c r="Q463" i="4" s="1"/>
  <c r="N479" i="4"/>
  <c r="P479" i="4"/>
  <c r="Q479" i="4" s="1"/>
  <c r="N83" i="4"/>
  <c r="P83" i="4"/>
  <c r="Q83" i="4" s="1"/>
  <c r="N91" i="4"/>
  <c r="P91" i="4"/>
  <c r="Q91" i="4" s="1"/>
  <c r="N99" i="4"/>
  <c r="P99" i="4"/>
  <c r="Q99" i="4" s="1"/>
  <c r="N107" i="4"/>
  <c r="P107" i="4"/>
  <c r="Q107" i="4" s="1"/>
  <c r="N115" i="4"/>
  <c r="P115" i="4"/>
  <c r="Q115" i="4" s="1"/>
  <c r="N123" i="4"/>
  <c r="P123" i="4"/>
  <c r="Q123" i="4" s="1"/>
  <c r="N131" i="4"/>
  <c r="P131" i="4"/>
  <c r="Q131" i="4" s="1"/>
  <c r="N139" i="4"/>
  <c r="P139" i="4"/>
  <c r="Q139" i="4" s="1"/>
  <c r="N147" i="4"/>
  <c r="P147" i="4"/>
  <c r="Q147" i="4" s="1"/>
  <c r="N155" i="4"/>
  <c r="P155" i="4"/>
  <c r="Q155" i="4" s="1"/>
  <c r="N163" i="4"/>
  <c r="P163" i="4"/>
  <c r="Q163" i="4" s="1"/>
  <c r="N171" i="4"/>
  <c r="P171" i="4"/>
  <c r="Q171" i="4" s="1"/>
  <c r="N179" i="4"/>
  <c r="P179" i="4"/>
  <c r="Q179" i="4" s="1"/>
  <c r="N187" i="4"/>
  <c r="P187" i="4"/>
  <c r="Q187" i="4" s="1"/>
  <c r="N195" i="4"/>
  <c r="P195" i="4"/>
  <c r="Q195" i="4" s="1"/>
  <c r="N203" i="4"/>
  <c r="P203" i="4"/>
  <c r="Q203" i="4" s="1"/>
  <c r="N211" i="4"/>
  <c r="P211" i="4"/>
  <c r="Q211" i="4" s="1"/>
  <c r="N219" i="4"/>
  <c r="P219" i="4"/>
  <c r="Q219" i="4" s="1"/>
  <c r="N227" i="4"/>
  <c r="P227" i="4"/>
  <c r="Q227" i="4" s="1"/>
  <c r="N235" i="4"/>
  <c r="P235" i="4"/>
  <c r="Q235" i="4" s="1"/>
  <c r="N243" i="4"/>
  <c r="P243" i="4"/>
  <c r="Q243" i="4" s="1"/>
  <c r="N251" i="4"/>
  <c r="P251" i="4"/>
  <c r="Q251" i="4" s="1"/>
  <c r="N259" i="4"/>
  <c r="P259" i="4"/>
  <c r="Q259" i="4" s="1"/>
  <c r="N267" i="4"/>
  <c r="P267" i="4"/>
  <c r="Q267" i="4" s="1"/>
  <c r="N275" i="4"/>
  <c r="P275" i="4"/>
  <c r="Q275" i="4" s="1"/>
  <c r="N283" i="4"/>
  <c r="P283" i="4"/>
  <c r="Q283" i="4" s="1"/>
  <c r="N291" i="4"/>
  <c r="P291" i="4"/>
  <c r="Q291" i="4" s="1"/>
  <c r="N299" i="4"/>
  <c r="P299" i="4"/>
  <c r="Q299" i="4" s="1"/>
  <c r="N307" i="4"/>
  <c r="P307" i="4"/>
  <c r="Q307" i="4" s="1"/>
  <c r="N315" i="4"/>
  <c r="P315" i="4"/>
  <c r="Q315" i="4" s="1"/>
  <c r="N323" i="4"/>
  <c r="P323" i="4"/>
  <c r="Q323" i="4" s="1"/>
  <c r="N331" i="4"/>
  <c r="P331" i="4"/>
  <c r="Q331" i="4" s="1"/>
  <c r="N339" i="4"/>
  <c r="P339" i="4"/>
  <c r="Q339" i="4" s="1"/>
  <c r="N347" i="4"/>
  <c r="P347" i="4"/>
  <c r="Q347" i="4" s="1"/>
  <c r="N355" i="4"/>
  <c r="P355" i="4"/>
  <c r="Q355" i="4" s="1"/>
  <c r="N363" i="4"/>
  <c r="P363" i="4"/>
  <c r="Q363" i="4" s="1"/>
  <c r="N371" i="4"/>
  <c r="P371" i="4"/>
  <c r="Q371" i="4" s="1"/>
  <c r="N379" i="4"/>
  <c r="P379" i="4"/>
  <c r="Q379" i="4" s="1"/>
  <c r="N387" i="4"/>
  <c r="P387" i="4"/>
  <c r="Q387" i="4" s="1"/>
  <c r="N395" i="4"/>
  <c r="P395" i="4"/>
  <c r="Q395" i="4" s="1"/>
  <c r="N403" i="4"/>
  <c r="P403" i="4"/>
  <c r="Q403" i="4" s="1"/>
  <c r="N411" i="4"/>
  <c r="P411" i="4"/>
  <c r="Q411" i="4" s="1"/>
  <c r="N419" i="4"/>
  <c r="P419" i="4"/>
  <c r="Q419" i="4" s="1"/>
  <c r="N427" i="4"/>
  <c r="P427" i="4"/>
  <c r="Q427" i="4" s="1"/>
  <c r="N435" i="4"/>
  <c r="P435" i="4"/>
  <c r="Q435" i="4" s="1"/>
  <c r="N443" i="4"/>
  <c r="P443" i="4"/>
  <c r="Q443" i="4" s="1"/>
  <c r="N451" i="4"/>
  <c r="P451" i="4"/>
  <c r="Q451" i="4" s="1"/>
  <c r="N459" i="4"/>
  <c r="P459" i="4"/>
  <c r="Q459" i="4" s="1"/>
  <c r="N467" i="4"/>
  <c r="P467" i="4"/>
  <c r="Q467" i="4" s="1"/>
  <c r="N475" i="4"/>
  <c r="P475" i="4"/>
  <c r="Q475" i="4" s="1"/>
  <c r="N483" i="4"/>
  <c r="P483" i="4"/>
  <c r="Q483" i="4" s="1"/>
  <c r="N491" i="4"/>
  <c r="P491" i="4"/>
  <c r="Q491" i="4" s="1"/>
  <c r="N499" i="4"/>
  <c r="P499" i="4"/>
  <c r="Q499" i="4" s="1"/>
  <c r="N468" i="4"/>
  <c r="P468" i="4"/>
  <c r="Q468" i="4" s="1"/>
  <c r="N277" i="4"/>
  <c r="P277" i="4"/>
  <c r="Q277" i="4" s="1"/>
  <c r="N397" i="4"/>
  <c r="P397" i="4"/>
  <c r="Q397" i="4" s="1"/>
  <c r="N461" i="4"/>
  <c r="P461" i="4"/>
  <c r="Q461" i="4" s="1"/>
  <c r="N501" i="4"/>
  <c r="P501" i="4"/>
  <c r="Q501" i="4" s="1"/>
  <c r="N310" i="4"/>
  <c r="P310" i="4"/>
  <c r="Q310" i="4" s="1"/>
  <c r="N454" i="4"/>
  <c r="P454" i="4"/>
  <c r="Q454" i="4" s="1"/>
  <c r="N494" i="4"/>
  <c r="P494" i="4"/>
  <c r="Q494" i="4" s="1"/>
  <c r="N502" i="4"/>
  <c r="P502" i="4"/>
  <c r="Q502" i="4" s="1"/>
  <c r="N503" i="4"/>
  <c r="P503" i="4"/>
  <c r="Q503" i="4" s="1"/>
  <c r="N84" i="4"/>
  <c r="P84" i="4"/>
  <c r="Q84" i="4" s="1"/>
  <c r="N116" i="4"/>
  <c r="P116" i="4"/>
  <c r="Q116" i="4" s="1"/>
  <c r="N156" i="4"/>
  <c r="P156" i="4"/>
  <c r="Q156" i="4" s="1"/>
  <c r="N180" i="4"/>
  <c r="P180" i="4"/>
  <c r="Q180" i="4" s="1"/>
  <c r="N212" i="4"/>
  <c r="P212" i="4"/>
  <c r="Q212" i="4" s="1"/>
  <c r="N244" i="4"/>
  <c r="P244" i="4"/>
  <c r="Q244" i="4" s="1"/>
  <c r="N276" i="4"/>
  <c r="P276" i="4"/>
  <c r="Q276" i="4" s="1"/>
  <c r="N308" i="4"/>
  <c r="P308" i="4"/>
  <c r="Q308" i="4" s="1"/>
  <c r="N340" i="4"/>
  <c r="P340" i="4"/>
  <c r="Q340" i="4" s="1"/>
  <c r="N372" i="4"/>
  <c r="P372" i="4"/>
  <c r="Q372" i="4" s="1"/>
  <c r="N404" i="4"/>
  <c r="P404" i="4"/>
  <c r="Q404" i="4" s="1"/>
  <c r="N436" i="4"/>
  <c r="P436" i="4"/>
  <c r="Q436" i="4" s="1"/>
  <c r="N500" i="4"/>
  <c r="P500" i="4"/>
  <c r="Q500" i="4" s="1"/>
  <c r="N109" i="4"/>
  <c r="P109" i="4"/>
  <c r="Q109" i="4" s="1"/>
  <c r="N141" i="4"/>
  <c r="P141" i="4"/>
  <c r="Q141" i="4" s="1"/>
  <c r="N173" i="4"/>
  <c r="P173" i="4"/>
  <c r="Q173" i="4" s="1"/>
  <c r="N213" i="4"/>
  <c r="P213" i="4"/>
  <c r="Q213" i="4" s="1"/>
  <c r="N261" i="4"/>
  <c r="P261" i="4"/>
  <c r="Q261" i="4" s="1"/>
  <c r="N293" i="4"/>
  <c r="P293" i="4"/>
  <c r="Q293" i="4" s="1"/>
  <c r="N333" i="4"/>
  <c r="P333" i="4"/>
  <c r="Q333" i="4" s="1"/>
  <c r="N365" i="4"/>
  <c r="P365" i="4"/>
  <c r="Q365" i="4" s="1"/>
  <c r="N405" i="4"/>
  <c r="P405" i="4"/>
  <c r="Q405" i="4" s="1"/>
  <c r="N453" i="4"/>
  <c r="P453" i="4"/>
  <c r="Q453" i="4" s="1"/>
  <c r="N493" i="4"/>
  <c r="P493" i="4"/>
  <c r="Q493" i="4" s="1"/>
  <c r="N86" i="4"/>
  <c r="P86" i="4"/>
  <c r="Q86" i="4" s="1"/>
  <c r="N118" i="4"/>
  <c r="P118" i="4"/>
  <c r="Q118" i="4" s="1"/>
  <c r="N158" i="4"/>
  <c r="P158" i="4"/>
  <c r="Q158" i="4" s="1"/>
  <c r="N198" i="4"/>
  <c r="P198" i="4"/>
  <c r="Q198" i="4" s="1"/>
  <c r="N230" i="4"/>
  <c r="P230" i="4"/>
  <c r="Q230" i="4" s="1"/>
  <c r="N262" i="4"/>
  <c r="P262" i="4"/>
  <c r="Q262" i="4" s="1"/>
  <c r="N294" i="4"/>
  <c r="P294" i="4"/>
  <c r="Q294" i="4" s="1"/>
  <c r="N342" i="4"/>
  <c r="P342" i="4"/>
  <c r="Q342" i="4" s="1"/>
  <c r="N374" i="4"/>
  <c r="P374" i="4"/>
  <c r="Q374" i="4" s="1"/>
  <c r="N406" i="4"/>
  <c r="P406" i="4"/>
  <c r="Q406" i="4" s="1"/>
  <c r="N438" i="4"/>
  <c r="P438" i="4"/>
  <c r="Q438" i="4" s="1"/>
  <c r="N462" i="4"/>
  <c r="P462" i="4"/>
  <c r="Q462" i="4" s="1"/>
  <c r="N111" i="4"/>
  <c r="P111" i="4"/>
  <c r="Q111" i="4" s="1"/>
  <c r="N143" i="4"/>
  <c r="P143" i="4"/>
  <c r="Q143" i="4" s="1"/>
  <c r="N175" i="4"/>
  <c r="P175" i="4"/>
  <c r="Q175" i="4" s="1"/>
  <c r="N215" i="4"/>
  <c r="P215" i="4"/>
  <c r="Q215" i="4" s="1"/>
  <c r="N247" i="4"/>
  <c r="P247" i="4"/>
  <c r="Q247" i="4" s="1"/>
  <c r="N271" i="4"/>
  <c r="P271" i="4"/>
  <c r="Q271" i="4" s="1"/>
  <c r="N295" i="4"/>
  <c r="P295" i="4"/>
  <c r="Q295" i="4" s="1"/>
  <c r="N319" i="4"/>
  <c r="P319" i="4"/>
  <c r="Q319" i="4" s="1"/>
  <c r="N351" i="4"/>
  <c r="P351" i="4"/>
  <c r="Q351" i="4" s="1"/>
  <c r="N391" i="4"/>
  <c r="P391" i="4"/>
  <c r="Q391" i="4" s="1"/>
  <c r="N471" i="4"/>
  <c r="P471" i="4"/>
  <c r="Q471" i="4" s="1"/>
  <c r="N88" i="4"/>
  <c r="P88" i="4"/>
  <c r="Q88" i="4" s="1"/>
  <c r="N96" i="4"/>
  <c r="P96" i="4"/>
  <c r="Q96" i="4" s="1"/>
  <c r="N104" i="4"/>
  <c r="P104" i="4"/>
  <c r="Q104" i="4" s="1"/>
  <c r="N112" i="4"/>
  <c r="P112" i="4"/>
  <c r="Q112" i="4" s="1"/>
  <c r="N120" i="4"/>
  <c r="P120" i="4"/>
  <c r="Q120" i="4" s="1"/>
  <c r="N128" i="4"/>
  <c r="P128" i="4"/>
  <c r="Q128" i="4" s="1"/>
  <c r="N136" i="4"/>
  <c r="P136" i="4"/>
  <c r="Q136" i="4" s="1"/>
  <c r="N144" i="4"/>
  <c r="P144" i="4"/>
  <c r="Q144" i="4" s="1"/>
  <c r="N152" i="4"/>
  <c r="P152" i="4"/>
  <c r="Q152" i="4" s="1"/>
  <c r="N160" i="4"/>
  <c r="P160" i="4"/>
  <c r="Q160" i="4" s="1"/>
  <c r="N168" i="4"/>
  <c r="P168" i="4"/>
  <c r="Q168" i="4" s="1"/>
  <c r="N176" i="4"/>
  <c r="P176" i="4"/>
  <c r="Q176" i="4" s="1"/>
  <c r="N184" i="4"/>
  <c r="P184" i="4"/>
  <c r="Q184" i="4" s="1"/>
  <c r="N192" i="4"/>
  <c r="P192" i="4"/>
  <c r="Q192" i="4" s="1"/>
  <c r="N200" i="4"/>
  <c r="P200" i="4"/>
  <c r="Q200" i="4" s="1"/>
  <c r="N208" i="4"/>
  <c r="P208" i="4"/>
  <c r="Q208" i="4" s="1"/>
  <c r="N216" i="4"/>
  <c r="P216" i="4"/>
  <c r="Q216" i="4" s="1"/>
  <c r="N224" i="4"/>
  <c r="P224" i="4"/>
  <c r="Q224" i="4" s="1"/>
  <c r="N232" i="4"/>
  <c r="P232" i="4"/>
  <c r="Q232" i="4" s="1"/>
  <c r="N240" i="4"/>
  <c r="P240" i="4"/>
  <c r="Q240" i="4" s="1"/>
  <c r="N248" i="4"/>
  <c r="P248" i="4"/>
  <c r="Q248" i="4" s="1"/>
  <c r="N256" i="4"/>
  <c r="P256" i="4"/>
  <c r="Q256" i="4" s="1"/>
  <c r="N264" i="4"/>
  <c r="P264" i="4"/>
  <c r="Q264" i="4" s="1"/>
  <c r="N272" i="4"/>
  <c r="P272" i="4"/>
  <c r="Q272" i="4" s="1"/>
  <c r="N280" i="4"/>
  <c r="P280" i="4"/>
  <c r="Q280" i="4" s="1"/>
  <c r="N288" i="4"/>
  <c r="P288" i="4"/>
  <c r="Q288" i="4" s="1"/>
  <c r="N296" i="4"/>
  <c r="P296" i="4"/>
  <c r="Q296" i="4" s="1"/>
  <c r="N304" i="4"/>
  <c r="P304" i="4"/>
  <c r="Q304" i="4" s="1"/>
  <c r="N312" i="4"/>
  <c r="P312" i="4"/>
  <c r="Q312" i="4" s="1"/>
  <c r="P320" i="4"/>
  <c r="Q320" i="4" s="1"/>
  <c r="P328" i="4"/>
  <c r="Q328" i="4" s="1"/>
  <c r="N336" i="4"/>
  <c r="P336" i="4"/>
  <c r="Q336" i="4" s="1"/>
  <c r="N344" i="4"/>
  <c r="P344" i="4"/>
  <c r="Q344" i="4" s="1"/>
  <c r="N352" i="4"/>
  <c r="P352" i="4"/>
  <c r="Q352" i="4" s="1"/>
  <c r="N360" i="4"/>
  <c r="P360" i="4"/>
  <c r="Q360" i="4" s="1"/>
  <c r="N368" i="4"/>
  <c r="P368" i="4"/>
  <c r="Q368" i="4" s="1"/>
  <c r="N376" i="4"/>
  <c r="P376" i="4"/>
  <c r="Q376" i="4" s="1"/>
  <c r="N384" i="4"/>
  <c r="P384" i="4"/>
  <c r="Q384" i="4" s="1"/>
  <c r="N392" i="4"/>
  <c r="P392" i="4"/>
  <c r="Q392" i="4" s="1"/>
  <c r="N400" i="4"/>
  <c r="P400" i="4"/>
  <c r="Q400" i="4" s="1"/>
  <c r="N408" i="4"/>
  <c r="P408" i="4"/>
  <c r="Q408" i="4" s="1"/>
  <c r="P416" i="4"/>
  <c r="Q416" i="4" s="1"/>
  <c r="N424" i="4"/>
  <c r="P424" i="4"/>
  <c r="Q424" i="4" s="1"/>
  <c r="N432" i="4"/>
  <c r="P432" i="4"/>
  <c r="Q432" i="4" s="1"/>
  <c r="N440" i="4"/>
  <c r="P440" i="4"/>
  <c r="Q440" i="4" s="1"/>
  <c r="P448" i="4"/>
  <c r="Q448" i="4" s="1"/>
  <c r="N456" i="4"/>
  <c r="P456" i="4"/>
  <c r="Q456" i="4" s="1"/>
  <c r="P464" i="4"/>
  <c r="Q464" i="4" s="1"/>
  <c r="N472" i="4"/>
  <c r="P472" i="4"/>
  <c r="Q472" i="4" s="1"/>
  <c r="N480" i="4"/>
  <c r="P480" i="4"/>
  <c r="Q480" i="4" s="1"/>
  <c r="N488" i="4"/>
  <c r="P488" i="4"/>
  <c r="Q488" i="4" s="1"/>
  <c r="P496" i="4"/>
  <c r="Q496" i="4" s="1"/>
  <c r="N504" i="4"/>
  <c r="P504" i="4"/>
  <c r="Q504" i="4" s="1"/>
  <c r="N100" i="4"/>
  <c r="P100" i="4"/>
  <c r="Q100" i="4" s="1"/>
  <c r="N124" i="4"/>
  <c r="P124" i="4"/>
  <c r="Q124" i="4" s="1"/>
  <c r="N148" i="4"/>
  <c r="P148" i="4"/>
  <c r="Q148" i="4" s="1"/>
  <c r="N172" i="4"/>
  <c r="P172" i="4"/>
  <c r="Q172" i="4" s="1"/>
  <c r="N204" i="4"/>
  <c r="P204" i="4"/>
  <c r="Q204" i="4" s="1"/>
  <c r="N228" i="4"/>
  <c r="P228" i="4"/>
  <c r="Q228" i="4" s="1"/>
  <c r="N252" i="4"/>
  <c r="P252" i="4"/>
  <c r="Q252" i="4" s="1"/>
  <c r="N284" i="4"/>
  <c r="P284" i="4"/>
  <c r="Q284" i="4" s="1"/>
  <c r="N316" i="4"/>
  <c r="P316" i="4"/>
  <c r="Q316" i="4" s="1"/>
  <c r="N348" i="4"/>
  <c r="P348" i="4"/>
  <c r="Q348" i="4" s="1"/>
  <c r="N380" i="4"/>
  <c r="P380" i="4"/>
  <c r="Q380" i="4" s="1"/>
  <c r="N412" i="4"/>
  <c r="P412" i="4"/>
  <c r="Q412" i="4" s="1"/>
  <c r="N444" i="4"/>
  <c r="P444" i="4"/>
  <c r="Q444" i="4" s="1"/>
  <c r="N476" i="4"/>
  <c r="P476" i="4"/>
  <c r="Q476" i="4" s="1"/>
  <c r="N85" i="4"/>
  <c r="P85" i="4"/>
  <c r="Q85" i="4" s="1"/>
  <c r="N133" i="4"/>
  <c r="P133" i="4"/>
  <c r="Q133" i="4" s="1"/>
  <c r="N165" i="4"/>
  <c r="P165" i="4"/>
  <c r="Q165" i="4" s="1"/>
  <c r="N197" i="4"/>
  <c r="P197" i="4"/>
  <c r="Q197" i="4" s="1"/>
  <c r="N221" i="4"/>
  <c r="P221" i="4"/>
  <c r="Q221" i="4" s="1"/>
  <c r="N245" i="4"/>
  <c r="P245" i="4"/>
  <c r="Q245" i="4" s="1"/>
  <c r="N285" i="4"/>
  <c r="P285" i="4"/>
  <c r="Q285" i="4" s="1"/>
  <c r="N317" i="4"/>
  <c r="P317" i="4"/>
  <c r="Q317" i="4" s="1"/>
  <c r="N349" i="4"/>
  <c r="P349" i="4"/>
  <c r="Q349" i="4" s="1"/>
  <c r="N381" i="4"/>
  <c r="P381" i="4"/>
  <c r="Q381" i="4" s="1"/>
  <c r="N421" i="4"/>
  <c r="P421" i="4"/>
  <c r="Q421" i="4" s="1"/>
  <c r="N437" i="4"/>
  <c r="P437" i="4"/>
  <c r="Q437" i="4" s="1"/>
  <c r="N477" i="4"/>
  <c r="P477" i="4"/>
  <c r="Q477" i="4" s="1"/>
  <c r="N102" i="4"/>
  <c r="P102" i="4"/>
  <c r="Q102" i="4" s="1"/>
  <c r="N126" i="4"/>
  <c r="P126" i="4"/>
  <c r="Q126" i="4" s="1"/>
  <c r="N150" i="4"/>
  <c r="P150" i="4"/>
  <c r="Q150" i="4" s="1"/>
  <c r="N190" i="4"/>
  <c r="P190" i="4"/>
  <c r="Q190" i="4" s="1"/>
  <c r="N214" i="4"/>
  <c r="P214" i="4"/>
  <c r="Q214" i="4" s="1"/>
  <c r="N246" i="4"/>
  <c r="P246" i="4"/>
  <c r="Q246" i="4" s="1"/>
  <c r="N278" i="4"/>
  <c r="P278" i="4"/>
  <c r="Q278" i="4" s="1"/>
  <c r="N334" i="4"/>
  <c r="P334" i="4"/>
  <c r="Q334" i="4" s="1"/>
  <c r="N358" i="4"/>
  <c r="P358" i="4"/>
  <c r="Q358" i="4" s="1"/>
  <c r="N390" i="4"/>
  <c r="P390" i="4"/>
  <c r="Q390" i="4" s="1"/>
  <c r="N422" i="4"/>
  <c r="P422" i="4"/>
  <c r="Q422" i="4" s="1"/>
  <c r="N486" i="4"/>
  <c r="P486" i="4"/>
  <c r="Q486" i="4" s="1"/>
  <c r="N95" i="4"/>
  <c r="P95" i="4"/>
  <c r="Q95" i="4" s="1"/>
  <c r="N127" i="4"/>
  <c r="P127" i="4"/>
  <c r="Q127" i="4" s="1"/>
  <c r="N167" i="4"/>
  <c r="P167" i="4"/>
  <c r="Q167" i="4" s="1"/>
  <c r="N199" i="4"/>
  <c r="P199" i="4"/>
  <c r="Q199" i="4" s="1"/>
  <c r="N231" i="4"/>
  <c r="P231" i="4"/>
  <c r="Q231" i="4" s="1"/>
  <c r="N287" i="4"/>
  <c r="P287" i="4"/>
  <c r="Q287" i="4" s="1"/>
  <c r="N327" i="4"/>
  <c r="P327" i="4"/>
  <c r="Q327" i="4" s="1"/>
  <c r="N359" i="4"/>
  <c r="P359" i="4"/>
  <c r="Q359" i="4" s="1"/>
  <c r="N383" i="4"/>
  <c r="P383" i="4"/>
  <c r="Q383" i="4" s="1"/>
  <c r="N415" i="4"/>
  <c r="P415" i="4"/>
  <c r="Q415" i="4" s="1"/>
  <c r="N439" i="4"/>
  <c r="P439" i="4"/>
  <c r="Q439" i="4" s="1"/>
  <c r="N487" i="4"/>
  <c r="P487" i="4"/>
  <c r="Q487" i="4" s="1"/>
  <c r="N89" i="4"/>
  <c r="P89" i="4"/>
  <c r="Q89" i="4" s="1"/>
  <c r="N97" i="4"/>
  <c r="P97" i="4"/>
  <c r="Q97" i="4" s="1"/>
  <c r="N105" i="4"/>
  <c r="P105" i="4"/>
  <c r="Q105" i="4" s="1"/>
  <c r="N113" i="4"/>
  <c r="P113" i="4"/>
  <c r="Q113" i="4" s="1"/>
  <c r="N121" i="4"/>
  <c r="P121" i="4"/>
  <c r="Q121" i="4" s="1"/>
  <c r="N129" i="4"/>
  <c r="P129" i="4"/>
  <c r="Q129" i="4" s="1"/>
  <c r="N137" i="4"/>
  <c r="P137" i="4"/>
  <c r="Q137" i="4" s="1"/>
  <c r="N145" i="4"/>
  <c r="P145" i="4"/>
  <c r="Q145" i="4" s="1"/>
  <c r="N153" i="4"/>
  <c r="P153" i="4"/>
  <c r="Q153" i="4" s="1"/>
  <c r="N161" i="4"/>
  <c r="P161" i="4"/>
  <c r="Q161" i="4" s="1"/>
  <c r="N169" i="4"/>
  <c r="P169" i="4"/>
  <c r="Q169" i="4" s="1"/>
  <c r="N177" i="4"/>
  <c r="P177" i="4"/>
  <c r="Q177" i="4" s="1"/>
  <c r="N185" i="4"/>
  <c r="P185" i="4"/>
  <c r="Q185" i="4" s="1"/>
  <c r="N193" i="4"/>
  <c r="P193" i="4"/>
  <c r="Q193" i="4" s="1"/>
  <c r="N201" i="4"/>
  <c r="P201" i="4"/>
  <c r="Q201" i="4" s="1"/>
  <c r="N209" i="4"/>
  <c r="P209" i="4"/>
  <c r="Q209" i="4" s="1"/>
  <c r="N217" i="4"/>
  <c r="P217" i="4"/>
  <c r="Q217" i="4" s="1"/>
  <c r="N225" i="4"/>
  <c r="P225" i="4"/>
  <c r="Q225" i="4" s="1"/>
  <c r="N233" i="4"/>
  <c r="P233" i="4"/>
  <c r="Q233" i="4" s="1"/>
  <c r="N241" i="4"/>
  <c r="P241" i="4"/>
  <c r="Q241" i="4" s="1"/>
  <c r="N249" i="4"/>
  <c r="P249" i="4"/>
  <c r="Q249" i="4" s="1"/>
  <c r="N257" i="4"/>
  <c r="P257" i="4"/>
  <c r="Q257" i="4" s="1"/>
  <c r="N265" i="4"/>
  <c r="P265" i="4"/>
  <c r="Q265" i="4" s="1"/>
  <c r="N273" i="4"/>
  <c r="P273" i="4"/>
  <c r="Q273" i="4" s="1"/>
  <c r="N281" i="4"/>
  <c r="P281" i="4"/>
  <c r="Q281" i="4" s="1"/>
  <c r="N289" i="4"/>
  <c r="P289" i="4"/>
  <c r="Q289" i="4" s="1"/>
  <c r="N297" i="4"/>
  <c r="P297" i="4"/>
  <c r="Q297" i="4" s="1"/>
  <c r="N305" i="4"/>
  <c r="P305" i="4"/>
  <c r="Q305" i="4" s="1"/>
  <c r="N313" i="4"/>
  <c r="P313" i="4"/>
  <c r="Q313" i="4" s="1"/>
  <c r="N321" i="4"/>
  <c r="P321" i="4"/>
  <c r="Q321" i="4" s="1"/>
  <c r="N329" i="4"/>
  <c r="P329" i="4"/>
  <c r="Q329" i="4" s="1"/>
  <c r="N337" i="4"/>
  <c r="P337" i="4"/>
  <c r="Q337" i="4" s="1"/>
  <c r="N345" i="4"/>
  <c r="P345" i="4"/>
  <c r="Q345" i="4" s="1"/>
  <c r="N353" i="4"/>
  <c r="P353" i="4"/>
  <c r="Q353" i="4" s="1"/>
  <c r="N361" i="4"/>
  <c r="P361" i="4"/>
  <c r="Q361" i="4" s="1"/>
  <c r="N369" i="4"/>
  <c r="P369" i="4"/>
  <c r="Q369" i="4" s="1"/>
  <c r="N377" i="4"/>
  <c r="P377" i="4"/>
  <c r="Q377" i="4" s="1"/>
  <c r="N385" i="4"/>
  <c r="P385" i="4"/>
  <c r="Q385" i="4" s="1"/>
  <c r="N393" i="4"/>
  <c r="P393" i="4"/>
  <c r="Q393" i="4" s="1"/>
  <c r="N401" i="4"/>
  <c r="P401" i="4"/>
  <c r="Q401" i="4" s="1"/>
  <c r="N409" i="4"/>
  <c r="P409" i="4"/>
  <c r="Q409" i="4" s="1"/>
  <c r="N417" i="4"/>
  <c r="P417" i="4"/>
  <c r="Q417" i="4" s="1"/>
  <c r="P425" i="4"/>
  <c r="Q425" i="4" s="1"/>
  <c r="N433" i="4"/>
  <c r="P433" i="4"/>
  <c r="Q433" i="4" s="1"/>
  <c r="N441" i="4"/>
  <c r="P441" i="4"/>
  <c r="Q441" i="4" s="1"/>
  <c r="N449" i="4"/>
  <c r="P449" i="4"/>
  <c r="Q449" i="4" s="1"/>
  <c r="N457" i="4"/>
  <c r="P457" i="4"/>
  <c r="Q457" i="4" s="1"/>
  <c r="P465" i="4"/>
  <c r="Q465" i="4" s="1"/>
  <c r="N473" i="4"/>
  <c r="P473" i="4"/>
  <c r="Q473" i="4" s="1"/>
  <c r="N481" i="4"/>
  <c r="P481" i="4"/>
  <c r="Q481" i="4" s="1"/>
  <c r="P489" i="4"/>
  <c r="Q489" i="4" s="1"/>
  <c r="P497" i="4"/>
  <c r="Q497" i="4" s="1"/>
  <c r="P505" i="4"/>
  <c r="Q505" i="4" s="1"/>
  <c r="N108" i="4"/>
  <c r="P108" i="4"/>
  <c r="Q108" i="4" s="1"/>
  <c r="N140" i="4"/>
  <c r="P140" i="4"/>
  <c r="Q140" i="4" s="1"/>
  <c r="N188" i="4"/>
  <c r="P188" i="4"/>
  <c r="Q188" i="4" s="1"/>
  <c r="N220" i="4"/>
  <c r="P220" i="4"/>
  <c r="Q220" i="4" s="1"/>
  <c r="N260" i="4"/>
  <c r="P260" i="4"/>
  <c r="Q260" i="4" s="1"/>
  <c r="N292" i="4"/>
  <c r="P292" i="4"/>
  <c r="Q292" i="4" s="1"/>
  <c r="N332" i="4"/>
  <c r="P332" i="4"/>
  <c r="Q332" i="4" s="1"/>
  <c r="N364" i="4"/>
  <c r="P364" i="4"/>
  <c r="Q364" i="4" s="1"/>
  <c r="N396" i="4"/>
  <c r="P396" i="4"/>
  <c r="Q396" i="4" s="1"/>
  <c r="N428" i="4"/>
  <c r="P428" i="4"/>
  <c r="Q428" i="4" s="1"/>
  <c r="N452" i="4"/>
  <c r="P452" i="4"/>
  <c r="Q452" i="4" s="1"/>
  <c r="N492" i="4"/>
  <c r="P492" i="4"/>
  <c r="Q492" i="4" s="1"/>
  <c r="N93" i="4"/>
  <c r="P93" i="4"/>
  <c r="Q93" i="4" s="1"/>
  <c r="N125" i="4"/>
  <c r="P125" i="4"/>
  <c r="Q125" i="4" s="1"/>
  <c r="N157" i="4"/>
  <c r="P157" i="4"/>
  <c r="Q157" i="4" s="1"/>
  <c r="N189" i="4"/>
  <c r="P189" i="4"/>
  <c r="Q189" i="4" s="1"/>
  <c r="N229" i="4"/>
  <c r="P229" i="4"/>
  <c r="Q229" i="4" s="1"/>
  <c r="N253" i="4"/>
  <c r="P253" i="4"/>
  <c r="Q253" i="4" s="1"/>
  <c r="N301" i="4"/>
  <c r="P301" i="4"/>
  <c r="Q301" i="4" s="1"/>
  <c r="N325" i="4"/>
  <c r="P325" i="4"/>
  <c r="Q325" i="4" s="1"/>
  <c r="N357" i="4"/>
  <c r="P357" i="4"/>
  <c r="Q357" i="4" s="1"/>
  <c r="N389" i="4"/>
  <c r="P389" i="4"/>
  <c r="Q389" i="4" s="1"/>
  <c r="N413" i="4"/>
  <c r="P413" i="4"/>
  <c r="Q413" i="4" s="1"/>
  <c r="N445" i="4"/>
  <c r="P445" i="4"/>
  <c r="Q445" i="4" s="1"/>
  <c r="N485" i="4"/>
  <c r="P485" i="4"/>
  <c r="Q485" i="4" s="1"/>
  <c r="N110" i="4"/>
  <c r="P110" i="4"/>
  <c r="Q110" i="4" s="1"/>
  <c r="N142" i="4"/>
  <c r="P142" i="4"/>
  <c r="Q142" i="4" s="1"/>
  <c r="N174" i="4"/>
  <c r="P174" i="4"/>
  <c r="Q174" i="4" s="1"/>
  <c r="N206" i="4"/>
  <c r="P206" i="4"/>
  <c r="Q206" i="4" s="1"/>
  <c r="N238" i="4"/>
  <c r="P238" i="4"/>
  <c r="Q238" i="4" s="1"/>
  <c r="N270" i="4"/>
  <c r="P270" i="4"/>
  <c r="Q270" i="4" s="1"/>
  <c r="N302" i="4"/>
  <c r="P302" i="4"/>
  <c r="Q302" i="4" s="1"/>
  <c r="N318" i="4"/>
  <c r="P318" i="4"/>
  <c r="Q318" i="4" s="1"/>
  <c r="N350" i="4"/>
  <c r="P350" i="4"/>
  <c r="Q350" i="4" s="1"/>
  <c r="N382" i="4"/>
  <c r="P382" i="4"/>
  <c r="Q382" i="4" s="1"/>
  <c r="N414" i="4"/>
  <c r="P414" i="4"/>
  <c r="Q414" i="4" s="1"/>
  <c r="N446" i="4"/>
  <c r="P446" i="4"/>
  <c r="Q446" i="4" s="1"/>
  <c r="N470" i="4"/>
  <c r="P470" i="4"/>
  <c r="Q470" i="4" s="1"/>
  <c r="N87" i="4"/>
  <c r="P87" i="4"/>
  <c r="Q87" i="4" s="1"/>
  <c r="N119" i="4"/>
  <c r="P119" i="4"/>
  <c r="Q119" i="4" s="1"/>
  <c r="N159" i="4"/>
  <c r="P159" i="4"/>
  <c r="Q159" i="4" s="1"/>
  <c r="N191" i="4"/>
  <c r="P191" i="4"/>
  <c r="Q191" i="4" s="1"/>
  <c r="N223" i="4"/>
  <c r="P223" i="4"/>
  <c r="Q223" i="4" s="1"/>
  <c r="N255" i="4"/>
  <c r="P255" i="4"/>
  <c r="Q255" i="4" s="1"/>
  <c r="N279" i="4"/>
  <c r="P279" i="4"/>
  <c r="Q279" i="4" s="1"/>
  <c r="N311" i="4"/>
  <c r="P311" i="4"/>
  <c r="Q311" i="4" s="1"/>
  <c r="N343" i="4"/>
  <c r="P343" i="4"/>
  <c r="Q343" i="4" s="1"/>
  <c r="N375" i="4"/>
  <c r="P375" i="4"/>
  <c r="Q375" i="4" s="1"/>
  <c r="N399" i="4"/>
  <c r="P399" i="4"/>
  <c r="Q399" i="4" s="1"/>
  <c r="N431" i="4"/>
  <c r="P431" i="4"/>
  <c r="Q431" i="4" s="1"/>
  <c r="P495" i="4"/>
  <c r="Q495" i="4" s="1"/>
  <c r="N90" i="4"/>
  <c r="P90" i="4"/>
  <c r="Q90" i="4" s="1"/>
  <c r="N98" i="4"/>
  <c r="P98" i="4"/>
  <c r="Q98" i="4" s="1"/>
  <c r="N106" i="4"/>
  <c r="P106" i="4"/>
  <c r="Q106" i="4" s="1"/>
  <c r="N114" i="4"/>
  <c r="P114" i="4"/>
  <c r="Q114" i="4" s="1"/>
  <c r="N122" i="4"/>
  <c r="P122" i="4"/>
  <c r="Q122" i="4" s="1"/>
  <c r="N130" i="4"/>
  <c r="P130" i="4"/>
  <c r="Q130" i="4" s="1"/>
  <c r="N138" i="4"/>
  <c r="P138" i="4"/>
  <c r="Q138" i="4" s="1"/>
  <c r="N146" i="4"/>
  <c r="P146" i="4"/>
  <c r="Q146" i="4" s="1"/>
  <c r="P154" i="4"/>
  <c r="Q154" i="4" s="1"/>
  <c r="N162" i="4"/>
  <c r="P162" i="4"/>
  <c r="Q162" i="4" s="1"/>
  <c r="N170" i="4"/>
  <c r="P170" i="4"/>
  <c r="Q170" i="4" s="1"/>
  <c r="N178" i="4"/>
  <c r="P178" i="4"/>
  <c r="Q178" i="4" s="1"/>
  <c r="N186" i="4"/>
  <c r="P186" i="4"/>
  <c r="Q186" i="4" s="1"/>
  <c r="N194" i="4"/>
  <c r="P194" i="4"/>
  <c r="Q194" i="4" s="1"/>
  <c r="N202" i="4"/>
  <c r="P202" i="4"/>
  <c r="Q202" i="4" s="1"/>
  <c r="N210" i="4"/>
  <c r="P210" i="4"/>
  <c r="Q210" i="4" s="1"/>
  <c r="N218" i="4"/>
  <c r="P218" i="4"/>
  <c r="Q218" i="4" s="1"/>
  <c r="N226" i="4"/>
  <c r="P226" i="4"/>
  <c r="Q226" i="4" s="1"/>
  <c r="P234" i="4"/>
  <c r="Q234" i="4" s="1"/>
  <c r="N242" i="4"/>
  <c r="P242" i="4"/>
  <c r="Q242" i="4" s="1"/>
  <c r="N250" i="4"/>
  <c r="P250" i="4"/>
  <c r="Q250" i="4" s="1"/>
  <c r="N258" i="4"/>
  <c r="P258" i="4"/>
  <c r="Q258" i="4" s="1"/>
  <c r="N266" i="4"/>
  <c r="P266" i="4"/>
  <c r="Q266" i="4" s="1"/>
  <c r="N274" i="4"/>
  <c r="P274" i="4"/>
  <c r="Q274" i="4" s="1"/>
  <c r="N282" i="4"/>
  <c r="P282" i="4"/>
  <c r="Q282" i="4" s="1"/>
  <c r="N290" i="4"/>
  <c r="P290" i="4"/>
  <c r="Q290" i="4" s="1"/>
  <c r="P298" i="4"/>
  <c r="Q298" i="4" s="1"/>
  <c r="N306" i="4"/>
  <c r="P306" i="4"/>
  <c r="Q306" i="4" s="1"/>
  <c r="N314" i="4"/>
  <c r="P314" i="4"/>
  <c r="Q314" i="4" s="1"/>
  <c r="N322" i="4"/>
  <c r="P322" i="4"/>
  <c r="Q322" i="4" s="1"/>
  <c r="P330" i="4"/>
  <c r="Q330" i="4" s="1"/>
  <c r="N338" i="4"/>
  <c r="P338" i="4"/>
  <c r="Q338" i="4" s="1"/>
  <c r="N346" i="4"/>
  <c r="P346" i="4"/>
  <c r="Q346" i="4" s="1"/>
  <c r="N354" i="4"/>
  <c r="P354" i="4"/>
  <c r="Q354" i="4" s="1"/>
  <c r="N362" i="4"/>
  <c r="P362" i="4"/>
  <c r="Q362" i="4" s="1"/>
  <c r="N370" i="4"/>
  <c r="P370" i="4"/>
  <c r="Q370" i="4" s="1"/>
  <c r="N378" i="4"/>
  <c r="P378" i="4"/>
  <c r="Q378" i="4" s="1"/>
  <c r="N386" i="4"/>
  <c r="P386" i="4"/>
  <c r="Q386" i="4" s="1"/>
  <c r="P394" i="4"/>
  <c r="Q394" i="4" s="1"/>
  <c r="N402" i="4"/>
  <c r="P402" i="4"/>
  <c r="Q402" i="4" s="1"/>
  <c r="N410" i="4"/>
  <c r="P410" i="4"/>
  <c r="Q410" i="4" s="1"/>
  <c r="N418" i="4"/>
  <c r="P418" i="4"/>
  <c r="Q418" i="4" s="1"/>
  <c r="N426" i="4"/>
  <c r="P426" i="4"/>
  <c r="Q426" i="4" s="1"/>
  <c r="N434" i="4"/>
  <c r="P434" i="4"/>
  <c r="Q434" i="4" s="1"/>
  <c r="P442" i="4"/>
  <c r="Q442" i="4" s="1"/>
  <c r="P450" i="4"/>
  <c r="Q450" i="4" s="1"/>
  <c r="N458" i="4"/>
  <c r="P458" i="4"/>
  <c r="Q458" i="4" s="1"/>
  <c r="N466" i="4"/>
  <c r="P466" i="4"/>
  <c r="Q466" i="4" s="1"/>
  <c r="N474" i="4"/>
  <c r="P474" i="4"/>
  <c r="Q474" i="4" s="1"/>
  <c r="N482" i="4"/>
  <c r="P482" i="4"/>
  <c r="Q482" i="4" s="1"/>
  <c r="P490" i="4"/>
  <c r="Q490" i="4" s="1"/>
  <c r="P498" i="4"/>
  <c r="Q498" i="4" s="1"/>
  <c r="P506" i="4"/>
  <c r="Q506" i="4" s="1"/>
  <c r="M495" i="4"/>
  <c r="O495" i="4" s="1"/>
  <c r="N495" i="4"/>
  <c r="M320" i="4"/>
  <c r="O320" i="4" s="1"/>
  <c r="N320" i="4"/>
  <c r="M328" i="4"/>
  <c r="O328" i="4" s="1"/>
  <c r="N328" i="4"/>
  <c r="M416" i="4"/>
  <c r="O416" i="4" s="1"/>
  <c r="N416" i="4"/>
  <c r="M448" i="4"/>
  <c r="O448" i="4" s="1"/>
  <c r="N448" i="4"/>
  <c r="M464" i="4"/>
  <c r="O464" i="4" s="1"/>
  <c r="N464" i="4"/>
  <c r="M496" i="4"/>
  <c r="O496" i="4" s="1"/>
  <c r="N496" i="4"/>
  <c r="M425" i="4"/>
  <c r="O425" i="4" s="1"/>
  <c r="N425" i="4"/>
  <c r="M465" i="4"/>
  <c r="O465" i="4" s="1"/>
  <c r="N465" i="4"/>
  <c r="M489" i="4"/>
  <c r="O489" i="4" s="1"/>
  <c r="N489" i="4"/>
  <c r="M497" i="4"/>
  <c r="O497" i="4" s="1"/>
  <c r="N497" i="4"/>
  <c r="M505" i="4"/>
  <c r="O505" i="4" s="1"/>
  <c r="N505" i="4"/>
  <c r="M154" i="4"/>
  <c r="O154" i="4" s="1"/>
  <c r="N154" i="4"/>
  <c r="M234" i="4"/>
  <c r="O234" i="4" s="1"/>
  <c r="N234" i="4"/>
  <c r="M298" i="4"/>
  <c r="O298" i="4" s="1"/>
  <c r="N298" i="4"/>
  <c r="M330" i="4"/>
  <c r="O330" i="4" s="1"/>
  <c r="N330" i="4"/>
  <c r="M394" i="4"/>
  <c r="O394" i="4" s="1"/>
  <c r="N394" i="4"/>
  <c r="M442" i="4"/>
  <c r="O442" i="4" s="1"/>
  <c r="N442" i="4"/>
  <c r="M450" i="4"/>
  <c r="O450" i="4" s="1"/>
  <c r="N450" i="4"/>
  <c r="M490" i="4"/>
  <c r="O490" i="4" s="1"/>
  <c r="N490" i="4"/>
  <c r="M498" i="4"/>
  <c r="O498" i="4" s="1"/>
  <c r="N498" i="4"/>
  <c r="M506" i="4"/>
  <c r="O506" i="4" s="1"/>
  <c r="N506" i="4"/>
  <c r="M109" i="4"/>
  <c r="O109" i="4" s="1"/>
  <c r="M141" i="4"/>
  <c r="O141" i="4" s="1"/>
  <c r="M173" i="4"/>
  <c r="O173" i="4" s="1"/>
  <c r="M221" i="4"/>
  <c r="O221" i="4" s="1"/>
  <c r="M317" i="4"/>
  <c r="O317" i="4" s="1"/>
  <c r="M83" i="4"/>
  <c r="O83" i="4" s="1"/>
  <c r="M91" i="4"/>
  <c r="O91" i="4" s="1"/>
  <c r="M99" i="4"/>
  <c r="O99" i="4" s="1"/>
  <c r="M107" i="4"/>
  <c r="O107" i="4" s="1"/>
  <c r="M115" i="4"/>
  <c r="O115" i="4" s="1"/>
  <c r="M123" i="4"/>
  <c r="O123" i="4" s="1"/>
  <c r="M131" i="4"/>
  <c r="O131" i="4" s="1"/>
  <c r="M139" i="4"/>
  <c r="O139" i="4" s="1"/>
  <c r="M147" i="4"/>
  <c r="O147" i="4" s="1"/>
  <c r="M155" i="4"/>
  <c r="O155" i="4" s="1"/>
  <c r="M163" i="4"/>
  <c r="O163" i="4" s="1"/>
  <c r="M171" i="4"/>
  <c r="O171" i="4" s="1"/>
  <c r="M179" i="4"/>
  <c r="O179" i="4" s="1"/>
  <c r="M187" i="4"/>
  <c r="O187" i="4" s="1"/>
  <c r="M195" i="4"/>
  <c r="O195" i="4" s="1"/>
  <c r="M203" i="4"/>
  <c r="O203" i="4" s="1"/>
  <c r="M211" i="4"/>
  <c r="O211" i="4" s="1"/>
  <c r="M219" i="4"/>
  <c r="O219" i="4" s="1"/>
  <c r="M227" i="4"/>
  <c r="O227" i="4" s="1"/>
  <c r="M235" i="4"/>
  <c r="O235" i="4" s="1"/>
  <c r="M243" i="4"/>
  <c r="O243" i="4" s="1"/>
  <c r="M251" i="4"/>
  <c r="O251" i="4" s="1"/>
  <c r="M259" i="4"/>
  <c r="O259" i="4" s="1"/>
  <c r="M267" i="4"/>
  <c r="O267" i="4" s="1"/>
  <c r="M275" i="4"/>
  <c r="O275" i="4" s="1"/>
  <c r="M283" i="4"/>
  <c r="O283" i="4" s="1"/>
  <c r="M291" i="4"/>
  <c r="O291" i="4" s="1"/>
  <c r="M299" i="4"/>
  <c r="O299" i="4" s="1"/>
  <c r="M307" i="4"/>
  <c r="O307" i="4" s="1"/>
  <c r="M315" i="4"/>
  <c r="O315" i="4" s="1"/>
  <c r="M323" i="4"/>
  <c r="O323" i="4" s="1"/>
  <c r="M331" i="4"/>
  <c r="O331" i="4" s="1"/>
  <c r="M339" i="4"/>
  <c r="O339" i="4" s="1"/>
  <c r="M347" i="4"/>
  <c r="O347" i="4" s="1"/>
  <c r="M355" i="4"/>
  <c r="O355" i="4" s="1"/>
  <c r="M363" i="4"/>
  <c r="O363" i="4" s="1"/>
  <c r="M371" i="4"/>
  <c r="O371" i="4" s="1"/>
  <c r="M379" i="4"/>
  <c r="O379" i="4" s="1"/>
  <c r="M387" i="4"/>
  <c r="O387" i="4" s="1"/>
  <c r="M395" i="4"/>
  <c r="O395" i="4" s="1"/>
  <c r="M403" i="4"/>
  <c r="O403" i="4" s="1"/>
  <c r="M411" i="4"/>
  <c r="O411" i="4" s="1"/>
  <c r="M419" i="4"/>
  <c r="O419" i="4" s="1"/>
  <c r="M427" i="4"/>
  <c r="O427" i="4" s="1"/>
  <c r="M435" i="4"/>
  <c r="O435" i="4" s="1"/>
  <c r="M443" i="4"/>
  <c r="O443" i="4" s="1"/>
  <c r="M451" i="4"/>
  <c r="O451" i="4" s="1"/>
  <c r="M459" i="4"/>
  <c r="O459" i="4" s="1"/>
  <c r="M467" i="4"/>
  <c r="O467" i="4" s="1"/>
  <c r="M475" i="4"/>
  <c r="O475" i="4" s="1"/>
  <c r="M483" i="4"/>
  <c r="O483" i="4" s="1"/>
  <c r="M491" i="4"/>
  <c r="O491" i="4" s="1"/>
  <c r="M499" i="4"/>
  <c r="O499" i="4" s="1"/>
  <c r="M84" i="4"/>
  <c r="O84" i="4" s="1"/>
  <c r="M92" i="4"/>
  <c r="O92" i="4" s="1"/>
  <c r="M100" i="4"/>
  <c r="O100" i="4" s="1"/>
  <c r="M108" i="4"/>
  <c r="O108" i="4" s="1"/>
  <c r="M116" i="4"/>
  <c r="O116" i="4" s="1"/>
  <c r="M124" i="4"/>
  <c r="O124" i="4" s="1"/>
  <c r="M132" i="4"/>
  <c r="O132" i="4" s="1"/>
  <c r="M140" i="4"/>
  <c r="O140" i="4" s="1"/>
  <c r="M148" i="4"/>
  <c r="O148" i="4" s="1"/>
  <c r="M156" i="4"/>
  <c r="O156" i="4" s="1"/>
  <c r="M164" i="4"/>
  <c r="O164" i="4" s="1"/>
  <c r="M172" i="4"/>
  <c r="O172" i="4" s="1"/>
  <c r="M180" i="4"/>
  <c r="O180" i="4" s="1"/>
  <c r="M188" i="4"/>
  <c r="O188" i="4" s="1"/>
  <c r="M196" i="4"/>
  <c r="O196" i="4" s="1"/>
  <c r="M204" i="4"/>
  <c r="O204" i="4" s="1"/>
  <c r="M212" i="4"/>
  <c r="O212" i="4" s="1"/>
  <c r="M220" i="4"/>
  <c r="O220" i="4" s="1"/>
  <c r="M228" i="4"/>
  <c r="O228" i="4" s="1"/>
  <c r="M236" i="4"/>
  <c r="O236" i="4" s="1"/>
  <c r="M244" i="4"/>
  <c r="O244" i="4" s="1"/>
  <c r="M252" i="4"/>
  <c r="O252" i="4" s="1"/>
  <c r="M260" i="4"/>
  <c r="O260" i="4" s="1"/>
  <c r="M268" i="4"/>
  <c r="O268" i="4" s="1"/>
  <c r="M276" i="4"/>
  <c r="O276" i="4" s="1"/>
  <c r="M284" i="4"/>
  <c r="O284" i="4" s="1"/>
  <c r="M292" i="4"/>
  <c r="O292" i="4" s="1"/>
  <c r="M300" i="4"/>
  <c r="O300" i="4" s="1"/>
  <c r="M308" i="4"/>
  <c r="O308" i="4" s="1"/>
  <c r="M316" i="4"/>
  <c r="O316" i="4" s="1"/>
  <c r="M324" i="4"/>
  <c r="O324" i="4" s="1"/>
  <c r="M332" i="4"/>
  <c r="O332" i="4" s="1"/>
  <c r="M340" i="4"/>
  <c r="O340" i="4" s="1"/>
  <c r="M348" i="4"/>
  <c r="O348" i="4" s="1"/>
  <c r="M356" i="4"/>
  <c r="O356" i="4" s="1"/>
  <c r="M364" i="4"/>
  <c r="O364" i="4" s="1"/>
  <c r="M372" i="4"/>
  <c r="O372" i="4" s="1"/>
  <c r="M380" i="4"/>
  <c r="O380" i="4" s="1"/>
  <c r="M388" i="4"/>
  <c r="O388" i="4" s="1"/>
  <c r="M396" i="4"/>
  <c r="O396" i="4" s="1"/>
  <c r="M404" i="4"/>
  <c r="O404" i="4" s="1"/>
  <c r="M412" i="4"/>
  <c r="O412" i="4" s="1"/>
  <c r="M420" i="4"/>
  <c r="O420" i="4" s="1"/>
  <c r="M428" i="4"/>
  <c r="O428" i="4" s="1"/>
  <c r="M436" i="4"/>
  <c r="O436" i="4" s="1"/>
  <c r="M444" i="4"/>
  <c r="O444" i="4" s="1"/>
  <c r="M452" i="4"/>
  <c r="O452" i="4" s="1"/>
  <c r="M460" i="4"/>
  <c r="O460" i="4" s="1"/>
  <c r="M468" i="4"/>
  <c r="O468" i="4" s="1"/>
  <c r="M476" i="4"/>
  <c r="O476" i="4" s="1"/>
  <c r="M484" i="4"/>
  <c r="O484" i="4" s="1"/>
  <c r="M492" i="4"/>
  <c r="O492" i="4" s="1"/>
  <c r="M500" i="4"/>
  <c r="O500" i="4" s="1"/>
  <c r="M245" i="4"/>
  <c r="O245" i="4" s="1"/>
  <c r="M381" i="4"/>
  <c r="O381" i="4" s="1"/>
  <c r="M102" i="4"/>
  <c r="O102" i="4" s="1"/>
  <c r="M278" i="4"/>
  <c r="O278" i="4" s="1"/>
  <c r="M350" i="4"/>
  <c r="O350" i="4" s="1"/>
  <c r="M358" i="4"/>
  <c r="O358" i="4" s="1"/>
  <c r="M390" i="4"/>
  <c r="O390" i="4" s="1"/>
  <c r="M398" i="4"/>
  <c r="O398" i="4" s="1"/>
  <c r="M406" i="4"/>
  <c r="O406" i="4" s="1"/>
  <c r="M414" i="4"/>
  <c r="O414" i="4" s="1"/>
  <c r="M422" i="4"/>
  <c r="O422" i="4" s="1"/>
  <c r="M430" i="4"/>
  <c r="O430" i="4" s="1"/>
  <c r="M438" i="4"/>
  <c r="O438" i="4" s="1"/>
  <c r="M446" i="4"/>
  <c r="O446" i="4" s="1"/>
  <c r="M454" i="4"/>
  <c r="O454" i="4" s="1"/>
  <c r="M462" i="4"/>
  <c r="O462" i="4" s="1"/>
  <c r="M470" i="4"/>
  <c r="O470" i="4" s="1"/>
  <c r="M478" i="4"/>
  <c r="O478" i="4" s="1"/>
  <c r="M486" i="4"/>
  <c r="O486" i="4" s="1"/>
  <c r="M494" i="4"/>
  <c r="O494" i="4" s="1"/>
  <c r="M502" i="4"/>
  <c r="O502" i="4" s="1"/>
  <c r="M85" i="4"/>
  <c r="O85" i="4" s="1"/>
  <c r="M237" i="4"/>
  <c r="O237" i="4" s="1"/>
  <c r="M477" i="4"/>
  <c r="O477" i="4" s="1"/>
  <c r="M215" i="4"/>
  <c r="O215" i="4" s="1"/>
  <c r="M287" i="4"/>
  <c r="O287" i="4" s="1"/>
  <c r="M311" i="4"/>
  <c r="O311" i="4" s="1"/>
  <c r="M327" i="4"/>
  <c r="O327" i="4" s="1"/>
  <c r="M335" i="4"/>
  <c r="O335" i="4" s="1"/>
  <c r="M343" i="4"/>
  <c r="O343" i="4" s="1"/>
  <c r="M351" i="4"/>
  <c r="O351" i="4" s="1"/>
  <c r="M359" i="4"/>
  <c r="O359" i="4" s="1"/>
  <c r="M367" i="4"/>
  <c r="O367" i="4" s="1"/>
  <c r="M375" i="4"/>
  <c r="O375" i="4" s="1"/>
  <c r="M383" i="4"/>
  <c r="O383" i="4" s="1"/>
  <c r="M391" i="4"/>
  <c r="O391" i="4" s="1"/>
  <c r="M399" i="4"/>
  <c r="O399" i="4" s="1"/>
  <c r="M407" i="4"/>
  <c r="O407" i="4" s="1"/>
  <c r="M415" i="4"/>
  <c r="O415" i="4" s="1"/>
  <c r="M423" i="4"/>
  <c r="O423" i="4" s="1"/>
  <c r="M431" i="4"/>
  <c r="O431" i="4" s="1"/>
  <c r="M439" i="4"/>
  <c r="O439" i="4" s="1"/>
  <c r="M447" i="4"/>
  <c r="O447" i="4" s="1"/>
  <c r="M455" i="4"/>
  <c r="O455" i="4" s="1"/>
  <c r="M463" i="4"/>
  <c r="O463" i="4" s="1"/>
  <c r="M471" i="4"/>
  <c r="O471" i="4" s="1"/>
  <c r="M479" i="4"/>
  <c r="O479" i="4" s="1"/>
  <c r="M487" i="4"/>
  <c r="O487" i="4" s="1"/>
  <c r="M503" i="4"/>
  <c r="O503" i="4" s="1"/>
  <c r="M117" i="4"/>
  <c r="O117" i="4" s="1"/>
  <c r="M157" i="4"/>
  <c r="O157" i="4" s="1"/>
  <c r="M197" i="4"/>
  <c r="O197" i="4" s="1"/>
  <c r="M229" i="4"/>
  <c r="O229" i="4" s="1"/>
  <c r="M253" i="4"/>
  <c r="O253" i="4" s="1"/>
  <c r="M277" i="4"/>
  <c r="O277" i="4" s="1"/>
  <c r="M301" i="4"/>
  <c r="O301" i="4" s="1"/>
  <c r="M333" i="4"/>
  <c r="O333" i="4" s="1"/>
  <c r="M357" i="4"/>
  <c r="O357" i="4" s="1"/>
  <c r="M389" i="4"/>
  <c r="O389" i="4" s="1"/>
  <c r="M421" i="4"/>
  <c r="O421" i="4" s="1"/>
  <c r="M445" i="4"/>
  <c r="O445" i="4" s="1"/>
  <c r="M469" i="4"/>
  <c r="O469" i="4" s="1"/>
  <c r="M493" i="4"/>
  <c r="O493" i="4" s="1"/>
  <c r="M118" i="4"/>
  <c r="O118" i="4" s="1"/>
  <c r="M142" i="4"/>
  <c r="O142" i="4" s="1"/>
  <c r="M158" i="4"/>
  <c r="O158" i="4" s="1"/>
  <c r="M182" i="4"/>
  <c r="O182" i="4" s="1"/>
  <c r="M198" i="4"/>
  <c r="O198" i="4" s="1"/>
  <c r="M222" i="4"/>
  <c r="O222" i="4" s="1"/>
  <c r="M246" i="4"/>
  <c r="O246" i="4" s="1"/>
  <c r="M262" i="4"/>
  <c r="O262" i="4" s="1"/>
  <c r="M286" i="4"/>
  <c r="O286" i="4" s="1"/>
  <c r="M310" i="4"/>
  <c r="O310" i="4" s="1"/>
  <c r="M334" i="4"/>
  <c r="O334" i="4" s="1"/>
  <c r="M366" i="4"/>
  <c r="O366" i="4" s="1"/>
  <c r="M95" i="4"/>
  <c r="O95" i="4" s="1"/>
  <c r="M119" i="4"/>
  <c r="O119" i="4" s="1"/>
  <c r="M135" i="4"/>
  <c r="O135" i="4" s="1"/>
  <c r="M151" i="4"/>
  <c r="O151" i="4" s="1"/>
  <c r="M175" i="4"/>
  <c r="O175" i="4" s="1"/>
  <c r="M199" i="4"/>
  <c r="O199" i="4" s="1"/>
  <c r="M223" i="4"/>
  <c r="O223" i="4" s="1"/>
  <c r="M247" i="4"/>
  <c r="O247" i="4" s="1"/>
  <c r="M263" i="4"/>
  <c r="O263" i="4" s="1"/>
  <c r="M279" i="4"/>
  <c r="O279" i="4" s="1"/>
  <c r="M319" i="4"/>
  <c r="O319" i="4" s="1"/>
  <c r="M88" i="4"/>
  <c r="O88" i="4" s="1"/>
  <c r="M96" i="4"/>
  <c r="O96" i="4" s="1"/>
  <c r="M104" i="4"/>
  <c r="O104" i="4" s="1"/>
  <c r="M112" i="4"/>
  <c r="O112" i="4" s="1"/>
  <c r="M120" i="4"/>
  <c r="O120" i="4" s="1"/>
  <c r="M128" i="4"/>
  <c r="O128" i="4" s="1"/>
  <c r="M136" i="4"/>
  <c r="O136" i="4" s="1"/>
  <c r="M144" i="4"/>
  <c r="O144" i="4" s="1"/>
  <c r="M152" i="4"/>
  <c r="O152" i="4" s="1"/>
  <c r="M160" i="4"/>
  <c r="O160" i="4" s="1"/>
  <c r="M168" i="4"/>
  <c r="O168" i="4" s="1"/>
  <c r="M176" i="4"/>
  <c r="O176" i="4" s="1"/>
  <c r="M184" i="4"/>
  <c r="O184" i="4" s="1"/>
  <c r="M192" i="4"/>
  <c r="O192" i="4" s="1"/>
  <c r="M200" i="4"/>
  <c r="O200" i="4" s="1"/>
  <c r="M208" i="4"/>
  <c r="O208" i="4" s="1"/>
  <c r="M216" i="4"/>
  <c r="O216" i="4" s="1"/>
  <c r="M224" i="4"/>
  <c r="O224" i="4" s="1"/>
  <c r="M232" i="4"/>
  <c r="O232" i="4" s="1"/>
  <c r="M240" i="4"/>
  <c r="O240" i="4" s="1"/>
  <c r="M248" i="4"/>
  <c r="O248" i="4" s="1"/>
  <c r="M256" i="4"/>
  <c r="O256" i="4" s="1"/>
  <c r="M264" i="4"/>
  <c r="O264" i="4" s="1"/>
  <c r="M272" i="4"/>
  <c r="O272" i="4" s="1"/>
  <c r="M280" i="4"/>
  <c r="O280" i="4" s="1"/>
  <c r="M288" i="4"/>
  <c r="O288" i="4" s="1"/>
  <c r="M296" i="4"/>
  <c r="O296" i="4" s="1"/>
  <c r="M304" i="4"/>
  <c r="O304" i="4" s="1"/>
  <c r="M312" i="4"/>
  <c r="O312" i="4" s="1"/>
  <c r="M336" i="4"/>
  <c r="O336" i="4" s="1"/>
  <c r="M344" i="4"/>
  <c r="O344" i="4" s="1"/>
  <c r="M352" i="4"/>
  <c r="O352" i="4" s="1"/>
  <c r="M360" i="4"/>
  <c r="O360" i="4" s="1"/>
  <c r="M368" i="4"/>
  <c r="O368" i="4" s="1"/>
  <c r="M376" i="4"/>
  <c r="O376" i="4" s="1"/>
  <c r="M384" i="4"/>
  <c r="O384" i="4" s="1"/>
  <c r="M392" i="4"/>
  <c r="O392" i="4" s="1"/>
  <c r="M400" i="4"/>
  <c r="O400" i="4" s="1"/>
  <c r="M408" i="4"/>
  <c r="O408" i="4" s="1"/>
  <c r="M424" i="4"/>
  <c r="O424" i="4" s="1"/>
  <c r="M432" i="4"/>
  <c r="O432" i="4" s="1"/>
  <c r="M440" i="4"/>
  <c r="O440" i="4" s="1"/>
  <c r="M456" i="4"/>
  <c r="O456" i="4" s="1"/>
  <c r="M472" i="4"/>
  <c r="O472" i="4" s="1"/>
  <c r="M480" i="4"/>
  <c r="O480" i="4" s="1"/>
  <c r="M488" i="4"/>
  <c r="O488" i="4" s="1"/>
  <c r="M504" i="4"/>
  <c r="O504" i="4" s="1"/>
  <c r="M93" i="4"/>
  <c r="O93" i="4" s="1"/>
  <c r="M125" i="4"/>
  <c r="O125" i="4" s="1"/>
  <c r="M149" i="4"/>
  <c r="O149" i="4" s="1"/>
  <c r="M181" i="4"/>
  <c r="O181" i="4" s="1"/>
  <c r="M213" i="4"/>
  <c r="O213" i="4" s="1"/>
  <c r="M261" i="4"/>
  <c r="O261" i="4" s="1"/>
  <c r="M285" i="4"/>
  <c r="O285" i="4" s="1"/>
  <c r="M309" i="4"/>
  <c r="O309" i="4" s="1"/>
  <c r="M341" i="4"/>
  <c r="O341" i="4" s="1"/>
  <c r="M365" i="4"/>
  <c r="O365" i="4" s="1"/>
  <c r="M405" i="4"/>
  <c r="O405" i="4" s="1"/>
  <c r="M429" i="4"/>
  <c r="O429" i="4" s="1"/>
  <c r="M461" i="4"/>
  <c r="O461" i="4" s="1"/>
  <c r="M485" i="4"/>
  <c r="O485" i="4" s="1"/>
  <c r="M94" i="4"/>
  <c r="O94" i="4" s="1"/>
  <c r="M126" i="4"/>
  <c r="O126" i="4" s="1"/>
  <c r="M166" i="4"/>
  <c r="O166" i="4" s="1"/>
  <c r="M206" i="4"/>
  <c r="O206" i="4" s="1"/>
  <c r="M238" i="4"/>
  <c r="O238" i="4" s="1"/>
  <c r="M270" i="4"/>
  <c r="O270" i="4" s="1"/>
  <c r="M302" i="4"/>
  <c r="O302" i="4" s="1"/>
  <c r="M326" i="4"/>
  <c r="O326" i="4" s="1"/>
  <c r="M382" i="4"/>
  <c r="O382" i="4" s="1"/>
  <c r="M103" i="4"/>
  <c r="O103" i="4" s="1"/>
  <c r="M143" i="4"/>
  <c r="O143" i="4" s="1"/>
  <c r="M167" i="4"/>
  <c r="O167" i="4" s="1"/>
  <c r="M191" i="4"/>
  <c r="O191" i="4" s="1"/>
  <c r="M231" i="4"/>
  <c r="O231" i="4" s="1"/>
  <c r="M255" i="4"/>
  <c r="O255" i="4" s="1"/>
  <c r="M295" i="4"/>
  <c r="O295" i="4" s="1"/>
  <c r="M89" i="4"/>
  <c r="O89" i="4" s="1"/>
  <c r="M97" i="4"/>
  <c r="O97" i="4" s="1"/>
  <c r="M105" i="4"/>
  <c r="O105" i="4" s="1"/>
  <c r="M113" i="4"/>
  <c r="O113" i="4" s="1"/>
  <c r="M121" i="4"/>
  <c r="O121" i="4" s="1"/>
  <c r="M129" i="4"/>
  <c r="O129" i="4" s="1"/>
  <c r="M137" i="4"/>
  <c r="O137" i="4" s="1"/>
  <c r="M145" i="4"/>
  <c r="O145" i="4" s="1"/>
  <c r="M153" i="4"/>
  <c r="O153" i="4" s="1"/>
  <c r="M161" i="4"/>
  <c r="O161" i="4" s="1"/>
  <c r="M169" i="4"/>
  <c r="O169" i="4" s="1"/>
  <c r="M177" i="4"/>
  <c r="O177" i="4" s="1"/>
  <c r="M185" i="4"/>
  <c r="O185" i="4" s="1"/>
  <c r="M193" i="4"/>
  <c r="O193" i="4" s="1"/>
  <c r="M201" i="4"/>
  <c r="O201" i="4" s="1"/>
  <c r="M209" i="4"/>
  <c r="O209" i="4" s="1"/>
  <c r="M217" i="4"/>
  <c r="O217" i="4" s="1"/>
  <c r="M225" i="4"/>
  <c r="O225" i="4" s="1"/>
  <c r="M233" i="4"/>
  <c r="O233" i="4" s="1"/>
  <c r="M241" i="4"/>
  <c r="O241" i="4" s="1"/>
  <c r="M249" i="4"/>
  <c r="O249" i="4" s="1"/>
  <c r="M257" i="4"/>
  <c r="O257" i="4" s="1"/>
  <c r="M265" i="4"/>
  <c r="O265" i="4" s="1"/>
  <c r="M273" i="4"/>
  <c r="O273" i="4" s="1"/>
  <c r="M281" i="4"/>
  <c r="O281" i="4" s="1"/>
  <c r="M289" i="4"/>
  <c r="O289" i="4" s="1"/>
  <c r="M297" i="4"/>
  <c r="O297" i="4" s="1"/>
  <c r="M305" i="4"/>
  <c r="O305" i="4" s="1"/>
  <c r="M313" i="4"/>
  <c r="O313" i="4" s="1"/>
  <c r="M321" i="4"/>
  <c r="O321" i="4" s="1"/>
  <c r="M329" i="4"/>
  <c r="O329" i="4" s="1"/>
  <c r="M337" i="4"/>
  <c r="O337" i="4" s="1"/>
  <c r="M345" i="4"/>
  <c r="O345" i="4" s="1"/>
  <c r="M353" i="4"/>
  <c r="O353" i="4" s="1"/>
  <c r="M361" i="4"/>
  <c r="O361" i="4" s="1"/>
  <c r="M369" i="4"/>
  <c r="O369" i="4" s="1"/>
  <c r="M377" i="4"/>
  <c r="O377" i="4" s="1"/>
  <c r="M385" i="4"/>
  <c r="O385" i="4" s="1"/>
  <c r="M393" i="4"/>
  <c r="O393" i="4" s="1"/>
  <c r="M401" i="4"/>
  <c r="O401" i="4" s="1"/>
  <c r="M409" i="4"/>
  <c r="O409" i="4" s="1"/>
  <c r="M417" i="4"/>
  <c r="O417" i="4" s="1"/>
  <c r="M433" i="4"/>
  <c r="O433" i="4" s="1"/>
  <c r="M441" i="4"/>
  <c r="O441" i="4" s="1"/>
  <c r="M449" i="4"/>
  <c r="O449" i="4" s="1"/>
  <c r="M457" i="4"/>
  <c r="O457" i="4" s="1"/>
  <c r="M473" i="4"/>
  <c r="O473" i="4" s="1"/>
  <c r="M481" i="4"/>
  <c r="O481" i="4" s="1"/>
  <c r="M101" i="4"/>
  <c r="O101" i="4" s="1"/>
  <c r="M133" i="4"/>
  <c r="O133" i="4" s="1"/>
  <c r="M165" i="4"/>
  <c r="O165" i="4" s="1"/>
  <c r="M189" i="4"/>
  <c r="O189" i="4" s="1"/>
  <c r="M205" i="4"/>
  <c r="O205" i="4" s="1"/>
  <c r="M269" i="4"/>
  <c r="O269" i="4" s="1"/>
  <c r="M293" i="4"/>
  <c r="O293" i="4" s="1"/>
  <c r="M325" i="4"/>
  <c r="O325" i="4" s="1"/>
  <c r="M349" i="4"/>
  <c r="O349" i="4" s="1"/>
  <c r="M373" i="4"/>
  <c r="O373" i="4" s="1"/>
  <c r="M397" i="4"/>
  <c r="O397" i="4" s="1"/>
  <c r="M413" i="4"/>
  <c r="O413" i="4" s="1"/>
  <c r="M437" i="4"/>
  <c r="O437" i="4" s="1"/>
  <c r="M453" i="4"/>
  <c r="O453" i="4" s="1"/>
  <c r="M501" i="4"/>
  <c r="O501" i="4" s="1"/>
  <c r="M86" i="4"/>
  <c r="O86" i="4" s="1"/>
  <c r="M110" i="4"/>
  <c r="O110" i="4" s="1"/>
  <c r="M134" i="4"/>
  <c r="O134" i="4" s="1"/>
  <c r="M150" i="4"/>
  <c r="O150" i="4" s="1"/>
  <c r="M174" i="4"/>
  <c r="O174" i="4" s="1"/>
  <c r="M190" i="4"/>
  <c r="O190" i="4" s="1"/>
  <c r="M214" i="4"/>
  <c r="O214" i="4" s="1"/>
  <c r="M230" i="4"/>
  <c r="O230" i="4" s="1"/>
  <c r="M254" i="4"/>
  <c r="O254" i="4" s="1"/>
  <c r="M294" i="4"/>
  <c r="O294" i="4" s="1"/>
  <c r="M318" i="4"/>
  <c r="O318" i="4" s="1"/>
  <c r="M342" i="4"/>
  <c r="O342" i="4" s="1"/>
  <c r="M374" i="4"/>
  <c r="O374" i="4" s="1"/>
  <c r="M87" i="4"/>
  <c r="O87" i="4" s="1"/>
  <c r="M111" i="4"/>
  <c r="O111" i="4" s="1"/>
  <c r="M127" i="4"/>
  <c r="O127" i="4" s="1"/>
  <c r="M159" i="4"/>
  <c r="O159" i="4" s="1"/>
  <c r="M183" i="4"/>
  <c r="O183" i="4" s="1"/>
  <c r="M207" i="4"/>
  <c r="O207" i="4" s="1"/>
  <c r="M239" i="4"/>
  <c r="O239" i="4" s="1"/>
  <c r="M271" i="4"/>
  <c r="O271" i="4" s="1"/>
  <c r="M303" i="4"/>
  <c r="O303" i="4" s="1"/>
  <c r="M90" i="4"/>
  <c r="O90" i="4" s="1"/>
  <c r="M98" i="4"/>
  <c r="O98" i="4" s="1"/>
  <c r="M106" i="4"/>
  <c r="O106" i="4" s="1"/>
  <c r="M114" i="4"/>
  <c r="O114" i="4" s="1"/>
  <c r="M122" i="4"/>
  <c r="O122" i="4" s="1"/>
  <c r="M130" i="4"/>
  <c r="O130" i="4" s="1"/>
  <c r="M138" i="4"/>
  <c r="O138" i="4" s="1"/>
  <c r="M146" i="4"/>
  <c r="O146" i="4" s="1"/>
  <c r="M162" i="4"/>
  <c r="O162" i="4" s="1"/>
  <c r="M170" i="4"/>
  <c r="O170" i="4" s="1"/>
  <c r="M178" i="4"/>
  <c r="O178" i="4" s="1"/>
  <c r="M186" i="4"/>
  <c r="O186" i="4" s="1"/>
  <c r="M194" i="4"/>
  <c r="O194" i="4" s="1"/>
  <c r="M202" i="4"/>
  <c r="O202" i="4" s="1"/>
  <c r="M210" i="4"/>
  <c r="O210" i="4" s="1"/>
  <c r="M218" i="4"/>
  <c r="O218" i="4" s="1"/>
  <c r="M226" i="4"/>
  <c r="O226" i="4" s="1"/>
  <c r="M242" i="4"/>
  <c r="O242" i="4" s="1"/>
  <c r="M250" i="4"/>
  <c r="O250" i="4" s="1"/>
  <c r="M258" i="4"/>
  <c r="O258" i="4" s="1"/>
  <c r="M266" i="4"/>
  <c r="O266" i="4" s="1"/>
  <c r="M274" i="4"/>
  <c r="O274" i="4" s="1"/>
  <c r="M282" i="4"/>
  <c r="O282" i="4" s="1"/>
  <c r="M290" i="4"/>
  <c r="O290" i="4" s="1"/>
  <c r="M306" i="4"/>
  <c r="O306" i="4" s="1"/>
  <c r="M314" i="4"/>
  <c r="O314" i="4" s="1"/>
  <c r="M322" i="4"/>
  <c r="O322" i="4" s="1"/>
  <c r="M338" i="4"/>
  <c r="O338" i="4" s="1"/>
  <c r="M346" i="4"/>
  <c r="O346" i="4" s="1"/>
  <c r="M354" i="4"/>
  <c r="O354" i="4" s="1"/>
  <c r="M362" i="4"/>
  <c r="O362" i="4" s="1"/>
  <c r="M370" i="4"/>
  <c r="O370" i="4" s="1"/>
  <c r="M378" i="4"/>
  <c r="O378" i="4" s="1"/>
  <c r="M386" i="4"/>
  <c r="O386" i="4" s="1"/>
  <c r="M402" i="4"/>
  <c r="O402" i="4" s="1"/>
  <c r="M410" i="4"/>
  <c r="O410" i="4" s="1"/>
  <c r="M418" i="4"/>
  <c r="O418" i="4" s="1"/>
  <c r="M426" i="4"/>
  <c r="O426" i="4" s="1"/>
  <c r="M434" i="4"/>
  <c r="O434" i="4" s="1"/>
  <c r="M458" i="4"/>
  <c r="O458" i="4" s="1"/>
  <c r="M466" i="4"/>
  <c r="O466" i="4" s="1"/>
  <c r="M474" i="4"/>
  <c r="O474" i="4" s="1"/>
  <c r="M482" i="4"/>
  <c r="O482" i="4" s="1"/>
  <c r="B49" i="1"/>
  <c r="B62" i="1"/>
  <c r="B61" i="1"/>
  <c r="B60" i="1"/>
  <c r="B51" i="1"/>
  <c r="B50" i="1"/>
  <c r="M42" i="2"/>
  <c r="L42" i="2"/>
  <c r="K42" i="2"/>
  <c r="J42" i="2"/>
  <c r="M41" i="2"/>
  <c r="L41" i="2"/>
  <c r="K41" i="2"/>
  <c r="J41" i="2"/>
  <c r="M40" i="2"/>
  <c r="L40" i="2"/>
  <c r="K40" i="2"/>
  <c r="J40" i="2"/>
  <c r="M39" i="2"/>
  <c r="L39" i="2"/>
  <c r="K39" i="2"/>
  <c r="J39" i="2"/>
  <c r="M38" i="2"/>
  <c r="L38" i="2"/>
  <c r="K38" i="2"/>
  <c r="J38" i="2"/>
  <c r="M37" i="2"/>
  <c r="L37" i="2"/>
  <c r="K37" i="2"/>
  <c r="J37" i="2"/>
  <c r="M36" i="2"/>
  <c r="L36" i="2"/>
  <c r="K36" i="2"/>
  <c r="J36" i="2"/>
  <c r="M35" i="2"/>
  <c r="L35" i="2"/>
  <c r="K35" i="2"/>
  <c r="J35" i="2"/>
  <c r="M34" i="2"/>
  <c r="L34" i="2"/>
  <c r="K34" i="2"/>
  <c r="J34" i="2"/>
  <c r="M33" i="2"/>
  <c r="L33" i="2"/>
  <c r="K33" i="2"/>
  <c r="J33" i="2"/>
  <c r="M32" i="2"/>
  <c r="L32" i="2"/>
  <c r="K32" i="2"/>
  <c r="J32" i="2"/>
  <c r="M30" i="2"/>
  <c r="L30" i="2"/>
  <c r="K30" i="2"/>
  <c r="J30" i="2"/>
  <c r="M29" i="2"/>
  <c r="L29" i="2"/>
  <c r="K29" i="2"/>
  <c r="J29" i="2"/>
  <c r="M28" i="2"/>
  <c r="L28" i="2"/>
  <c r="K28" i="2"/>
  <c r="J28" i="2"/>
  <c r="M27" i="2"/>
  <c r="L27" i="2"/>
  <c r="K27" i="2"/>
  <c r="J27" i="2"/>
  <c r="M26" i="2"/>
  <c r="L26" i="2"/>
  <c r="K26" i="2"/>
  <c r="J26" i="2"/>
  <c r="M25" i="2"/>
  <c r="L25" i="2"/>
  <c r="K25" i="2"/>
  <c r="J25" i="2"/>
  <c r="M24" i="2"/>
  <c r="L24" i="2"/>
  <c r="K24" i="2"/>
  <c r="J24" i="2"/>
  <c r="I35" i="2"/>
  <c r="M23" i="2"/>
  <c r="L23" i="2"/>
  <c r="K23" i="2"/>
  <c r="J23" i="2"/>
  <c r="B65" i="5"/>
  <c r="B64" i="5"/>
  <c r="B63" i="5"/>
  <c r="B51" i="5"/>
  <c r="B4" i="5"/>
  <c r="B38" i="5"/>
  <c r="B39" i="5"/>
  <c r="B37" i="5"/>
  <c r="A39" i="5"/>
  <c r="A38" i="5"/>
  <c r="A37" i="5"/>
  <c r="A36" i="5"/>
  <c r="B32" i="5"/>
  <c r="B31" i="5"/>
  <c r="B30" i="5"/>
  <c r="B29" i="5"/>
  <c r="A13" i="5"/>
  <c r="A9" i="5"/>
  <c r="A25" i="5"/>
  <c r="A24" i="5"/>
  <c r="A23" i="5"/>
  <c r="A22" i="5"/>
  <c r="A21" i="5"/>
  <c r="A20" i="5"/>
  <c r="A19" i="5"/>
  <c r="A18" i="5"/>
  <c r="A17" i="5"/>
  <c r="A15" i="5"/>
  <c r="A14" i="5"/>
  <c r="A12" i="5"/>
  <c r="A11" i="5"/>
  <c r="B11" i="2"/>
  <c r="B10" i="2"/>
  <c r="B52" i="1" s="1"/>
  <c r="B57" i="1"/>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7" i="4"/>
  <c r="A8" i="4" s="1"/>
  <c r="A9" i="4" s="1"/>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K83" i="4" s="1"/>
  <c r="J84" i="4"/>
  <c r="K84" i="4" s="1"/>
  <c r="J85" i="4"/>
  <c r="K85" i="4" s="1"/>
  <c r="J86" i="4"/>
  <c r="K86" i="4" s="1"/>
  <c r="J87" i="4"/>
  <c r="K87" i="4" s="1"/>
  <c r="J88" i="4"/>
  <c r="K88" i="4" s="1"/>
  <c r="J89" i="4"/>
  <c r="K89" i="4" s="1"/>
  <c r="J90" i="4"/>
  <c r="K90" i="4" s="1"/>
  <c r="J91" i="4"/>
  <c r="K91" i="4" s="1"/>
  <c r="J92" i="4"/>
  <c r="K92" i="4" s="1"/>
  <c r="J93" i="4"/>
  <c r="K93" i="4" s="1"/>
  <c r="J94" i="4"/>
  <c r="K94" i="4" s="1"/>
  <c r="J95" i="4"/>
  <c r="K95" i="4" s="1"/>
  <c r="J96" i="4"/>
  <c r="K96" i="4" s="1"/>
  <c r="J97" i="4"/>
  <c r="K97" i="4" s="1"/>
  <c r="J98" i="4"/>
  <c r="K98" i="4" s="1"/>
  <c r="J99" i="4"/>
  <c r="K99" i="4" s="1"/>
  <c r="J100" i="4"/>
  <c r="K100" i="4" s="1"/>
  <c r="J101" i="4"/>
  <c r="K101" i="4" s="1"/>
  <c r="J102" i="4"/>
  <c r="K102" i="4" s="1"/>
  <c r="J103" i="4"/>
  <c r="K103" i="4" s="1"/>
  <c r="J104" i="4"/>
  <c r="K104" i="4" s="1"/>
  <c r="J105" i="4"/>
  <c r="K105" i="4" s="1"/>
  <c r="J106" i="4"/>
  <c r="K106" i="4" s="1"/>
  <c r="J107" i="4"/>
  <c r="K107" i="4" s="1"/>
  <c r="J108" i="4"/>
  <c r="K108" i="4" s="1"/>
  <c r="J109" i="4"/>
  <c r="K109" i="4" s="1"/>
  <c r="J110" i="4"/>
  <c r="K110" i="4" s="1"/>
  <c r="J111" i="4"/>
  <c r="K111" i="4" s="1"/>
  <c r="J112" i="4"/>
  <c r="K112" i="4" s="1"/>
  <c r="J113" i="4"/>
  <c r="K113" i="4" s="1"/>
  <c r="J114" i="4"/>
  <c r="K114" i="4" s="1"/>
  <c r="J115" i="4"/>
  <c r="K115" i="4" s="1"/>
  <c r="J116" i="4"/>
  <c r="K116" i="4" s="1"/>
  <c r="J117" i="4"/>
  <c r="K117" i="4" s="1"/>
  <c r="J118" i="4"/>
  <c r="K118" i="4" s="1"/>
  <c r="J119" i="4"/>
  <c r="K119" i="4" s="1"/>
  <c r="J120" i="4"/>
  <c r="K120" i="4" s="1"/>
  <c r="J121" i="4"/>
  <c r="K121" i="4" s="1"/>
  <c r="J122" i="4"/>
  <c r="K122" i="4" s="1"/>
  <c r="J123" i="4"/>
  <c r="K123" i="4" s="1"/>
  <c r="J124" i="4"/>
  <c r="K124" i="4" s="1"/>
  <c r="J125" i="4"/>
  <c r="K125" i="4" s="1"/>
  <c r="J126" i="4"/>
  <c r="K126" i="4" s="1"/>
  <c r="J127" i="4"/>
  <c r="K127" i="4" s="1"/>
  <c r="J128" i="4"/>
  <c r="K128" i="4" s="1"/>
  <c r="J129" i="4"/>
  <c r="K129" i="4" s="1"/>
  <c r="J130" i="4"/>
  <c r="K130" i="4" s="1"/>
  <c r="J131" i="4"/>
  <c r="K131" i="4" s="1"/>
  <c r="J132" i="4"/>
  <c r="K132" i="4" s="1"/>
  <c r="J133" i="4"/>
  <c r="K133" i="4" s="1"/>
  <c r="J134" i="4"/>
  <c r="K134" i="4" s="1"/>
  <c r="J135" i="4"/>
  <c r="K135" i="4" s="1"/>
  <c r="J136" i="4"/>
  <c r="K136" i="4" s="1"/>
  <c r="J137" i="4"/>
  <c r="K137" i="4" s="1"/>
  <c r="J138" i="4"/>
  <c r="K138" i="4" s="1"/>
  <c r="J139" i="4"/>
  <c r="K139" i="4" s="1"/>
  <c r="J140" i="4"/>
  <c r="K140" i="4" s="1"/>
  <c r="J141" i="4"/>
  <c r="K141" i="4" s="1"/>
  <c r="J142" i="4"/>
  <c r="K142" i="4" s="1"/>
  <c r="J143" i="4"/>
  <c r="K143" i="4" s="1"/>
  <c r="J144" i="4"/>
  <c r="K144" i="4" s="1"/>
  <c r="J145" i="4"/>
  <c r="K145" i="4" s="1"/>
  <c r="J146" i="4"/>
  <c r="K146" i="4" s="1"/>
  <c r="J147" i="4"/>
  <c r="K147" i="4" s="1"/>
  <c r="J148" i="4"/>
  <c r="K148" i="4" s="1"/>
  <c r="J149" i="4"/>
  <c r="K149" i="4" s="1"/>
  <c r="J150" i="4"/>
  <c r="K150" i="4" s="1"/>
  <c r="J151" i="4"/>
  <c r="K151" i="4" s="1"/>
  <c r="J152" i="4"/>
  <c r="K152" i="4" s="1"/>
  <c r="J153" i="4"/>
  <c r="K153" i="4" s="1"/>
  <c r="J154" i="4"/>
  <c r="K154" i="4" s="1"/>
  <c r="J155" i="4"/>
  <c r="K155" i="4" s="1"/>
  <c r="J156" i="4"/>
  <c r="K156" i="4" s="1"/>
  <c r="J157" i="4"/>
  <c r="K157" i="4" s="1"/>
  <c r="J158" i="4"/>
  <c r="K158" i="4" s="1"/>
  <c r="J159" i="4"/>
  <c r="K159" i="4" s="1"/>
  <c r="J160" i="4"/>
  <c r="K160" i="4" s="1"/>
  <c r="J161" i="4"/>
  <c r="K161" i="4" s="1"/>
  <c r="J162" i="4"/>
  <c r="K162" i="4" s="1"/>
  <c r="J163" i="4"/>
  <c r="K163" i="4" s="1"/>
  <c r="J164" i="4"/>
  <c r="K164" i="4" s="1"/>
  <c r="J165" i="4"/>
  <c r="K165" i="4" s="1"/>
  <c r="J166" i="4"/>
  <c r="K166" i="4" s="1"/>
  <c r="J167" i="4"/>
  <c r="K167" i="4" s="1"/>
  <c r="J168" i="4"/>
  <c r="K168" i="4" s="1"/>
  <c r="J169" i="4"/>
  <c r="K169" i="4" s="1"/>
  <c r="J170" i="4"/>
  <c r="K170" i="4" s="1"/>
  <c r="J171" i="4"/>
  <c r="K171" i="4" s="1"/>
  <c r="J172" i="4"/>
  <c r="K172" i="4" s="1"/>
  <c r="J173" i="4"/>
  <c r="K173" i="4" s="1"/>
  <c r="J174" i="4"/>
  <c r="K174" i="4" s="1"/>
  <c r="J175" i="4"/>
  <c r="K175" i="4" s="1"/>
  <c r="J176" i="4"/>
  <c r="K176" i="4" s="1"/>
  <c r="J177" i="4"/>
  <c r="K177" i="4" s="1"/>
  <c r="J178" i="4"/>
  <c r="K178" i="4" s="1"/>
  <c r="J179" i="4"/>
  <c r="K179" i="4" s="1"/>
  <c r="J180" i="4"/>
  <c r="K180" i="4" s="1"/>
  <c r="J181" i="4"/>
  <c r="K181" i="4" s="1"/>
  <c r="J182" i="4"/>
  <c r="K182" i="4" s="1"/>
  <c r="J183" i="4"/>
  <c r="K183" i="4" s="1"/>
  <c r="J184" i="4"/>
  <c r="K184" i="4" s="1"/>
  <c r="J185" i="4"/>
  <c r="K185" i="4" s="1"/>
  <c r="J186" i="4"/>
  <c r="K186" i="4" s="1"/>
  <c r="J187" i="4"/>
  <c r="K187" i="4" s="1"/>
  <c r="J188" i="4"/>
  <c r="K188" i="4" s="1"/>
  <c r="J189" i="4"/>
  <c r="K189" i="4" s="1"/>
  <c r="J190" i="4"/>
  <c r="K190" i="4" s="1"/>
  <c r="J191" i="4"/>
  <c r="K191" i="4" s="1"/>
  <c r="J192" i="4"/>
  <c r="K192" i="4" s="1"/>
  <c r="J193" i="4"/>
  <c r="K193" i="4" s="1"/>
  <c r="J194" i="4"/>
  <c r="K194" i="4" s="1"/>
  <c r="J195" i="4"/>
  <c r="K195" i="4" s="1"/>
  <c r="J196" i="4"/>
  <c r="K196" i="4" s="1"/>
  <c r="J197" i="4"/>
  <c r="K197" i="4" s="1"/>
  <c r="J198" i="4"/>
  <c r="K198" i="4" s="1"/>
  <c r="J199" i="4"/>
  <c r="K199" i="4" s="1"/>
  <c r="J200" i="4"/>
  <c r="K200" i="4" s="1"/>
  <c r="J201" i="4"/>
  <c r="K201" i="4" s="1"/>
  <c r="J202" i="4"/>
  <c r="K202" i="4" s="1"/>
  <c r="J203" i="4"/>
  <c r="K203" i="4" s="1"/>
  <c r="J204" i="4"/>
  <c r="K204" i="4" s="1"/>
  <c r="J205" i="4"/>
  <c r="K205" i="4" s="1"/>
  <c r="J206" i="4"/>
  <c r="K206" i="4" s="1"/>
  <c r="J207" i="4"/>
  <c r="K207" i="4" s="1"/>
  <c r="J208" i="4"/>
  <c r="K208" i="4" s="1"/>
  <c r="J209" i="4"/>
  <c r="K209" i="4" s="1"/>
  <c r="J210" i="4"/>
  <c r="K210" i="4" s="1"/>
  <c r="J211" i="4"/>
  <c r="K211" i="4" s="1"/>
  <c r="J212" i="4"/>
  <c r="K212" i="4" s="1"/>
  <c r="J213" i="4"/>
  <c r="K213" i="4" s="1"/>
  <c r="J214" i="4"/>
  <c r="K214" i="4" s="1"/>
  <c r="J215" i="4"/>
  <c r="K215" i="4" s="1"/>
  <c r="J216" i="4"/>
  <c r="K216" i="4" s="1"/>
  <c r="J217" i="4"/>
  <c r="K217" i="4" s="1"/>
  <c r="J218" i="4"/>
  <c r="K218" i="4" s="1"/>
  <c r="J219" i="4"/>
  <c r="K219" i="4" s="1"/>
  <c r="J220" i="4"/>
  <c r="K220" i="4" s="1"/>
  <c r="J221" i="4"/>
  <c r="K221" i="4" s="1"/>
  <c r="J222" i="4"/>
  <c r="K222" i="4" s="1"/>
  <c r="J223" i="4"/>
  <c r="K223" i="4" s="1"/>
  <c r="J224" i="4"/>
  <c r="K224" i="4" s="1"/>
  <c r="J225" i="4"/>
  <c r="K225" i="4" s="1"/>
  <c r="J226" i="4"/>
  <c r="K226" i="4" s="1"/>
  <c r="J227" i="4"/>
  <c r="K227" i="4" s="1"/>
  <c r="J228" i="4"/>
  <c r="K228" i="4" s="1"/>
  <c r="J229" i="4"/>
  <c r="K229" i="4" s="1"/>
  <c r="J230" i="4"/>
  <c r="K230" i="4" s="1"/>
  <c r="J231" i="4"/>
  <c r="K231" i="4" s="1"/>
  <c r="J232" i="4"/>
  <c r="K232" i="4" s="1"/>
  <c r="J233" i="4"/>
  <c r="K233" i="4" s="1"/>
  <c r="J234" i="4"/>
  <c r="K234" i="4" s="1"/>
  <c r="J235" i="4"/>
  <c r="K235" i="4" s="1"/>
  <c r="J236" i="4"/>
  <c r="K236" i="4" s="1"/>
  <c r="J237" i="4"/>
  <c r="K237" i="4" s="1"/>
  <c r="J238" i="4"/>
  <c r="K238" i="4" s="1"/>
  <c r="J239" i="4"/>
  <c r="K239" i="4" s="1"/>
  <c r="J240" i="4"/>
  <c r="K240" i="4" s="1"/>
  <c r="J241" i="4"/>
  <c r="K241" i="4" s="1"/>
  <c r="J242" i="4"/>
  <c r="K242" i="4" s="1"/>
  <c r="J243" i="4"/>
  <c r="K243" i="4" s="1"/>
  <c r="J244" i="4"/>
  <c r="K244" i="4" s="1"/>
  <c r="J245" i="4"/>
  <c r="K245" i="4" s="1"/>
  <c r="J246" i="4"/>
  <c r="K246" i="4" s="1"/>
  <c r="J247" i="4"/>
  <c r="K247" i="4" s="1"/>
  <c r="J248" i="4"/>
  <c r="K248" i="4" s="1"/>
  <c r="J249" i="4"/>
  <c r="K249" i="4" s="1"/>
  <c r="J250" i="4"/>
  <c r="K250" i="4" s="1"/>
  <c r="J251" i="4"/>
  <c r="K251" i="4" s="1"/>
  <c r="J252" i="4"/>
  <c r="K252" i="4" s="1"/>
  <c r="J253" i="4"/>
  <c r="K253" i="4" s="1"/>
  <c r="J254" i="4"/>
  <c r="K254" i="4" s="1"/>
  <c r="J255" i="4"/>
  <c r="K255" i="4" s="1"/>
  <c r="J256" i="4"/>
  <c r="K256" i="4" s="1"/>
  <c r="J257" i="4"/>
  <c r="K257" i="4" s="1"/>
  <c r="J258" i="4"/>
  <c r="K258" i="4" s="1"/>
  <c r="J259" i="4"/>
  <c r="K259" i="4" s="1"/>
  <c r="J260" i="4"/>
  <c r="K260" i="4" s="1"/>
  <c r="J261" i="4"/>
  <c r="K261" i="4" s="1"/>
  <c r="J262" i="4"/>
  <c r="K262" i="4" s="1"/>
  <c r="J263" i="4"/>
  <c r="K263" i="4" s="1"/>
  <c r="J264" i="4"/>
  <c r="K264" i="4" s="1"/>
  <c r="J265" i="4"/>
  <c r="K265" i="4" s="1"/>
  <c r="J266" i="4"/>
  <c r="K266" i="4" s="1"/>
  <c r="J267" i="4"/>
  <c r="K267" i="4" s="1"/>
  <c r="J268" i="4"/>
  <c r="K268" i="4" s="1"/>
  <c r="J269" i="4"/>
  <c r="K269" i="4" s="1"/>
  <c r="J270" i="4"/>
  <c r="K270" i="4" s="1"/>
  <c r="J271" i="4"/>
  <c r="K271" i="4" s="1"/>
  <c r="J272" i="4"/>
  <c r="K272" i="4" s="1"/>
  <c r="J273" i="4"/>
  <c r="K273" i="4" s="1"/>
  <c r="J274" i="4"/>
  <c r="K274" i="4" s="1"/>
  <c r="J275" i="4"/>
  <c r="K275" i="4" s="1"/>
  <c r="J276" i="4"/>
  <c r="K276" i="4" s="1"/>
  <c r="J277" i="4"/>
  <c r="K277" i="4" s="1"/>
  <c r="J278" i="4"/>
  <c r="K278" i="4" s="1"/>
  <c r="J279" i="4"/>
  <c r="K279" i="4" s="1"/>
  <c r="J280" i="4"/>
  <c r="K280" i="4" s="1"/>
  <c r="J281" i="4"/>
  <c r="K281" i="4" s="1"/>
  <c r="J282" i="4"/>
  <c r="K282" i="4" s="1"/>
  <c r="J283" i="4"/>
  <c r="K283" i="4" s="1"/>
  <c r="J284" i="4"/>
  <c r="K284" i="4" s="1"/>
  <c r="J285" i="4"/>
  <c r="K285" i="4" s="1"/>
  <c r="J286" i="4"/>
  <c r="K286" i="4" s="1"/>
  <c r="J287" i="4"/>
  <c r="K287" i="4" s="1"/>
  <c r="J288" i="4"/>
  <c r="K288" i="4" s="1"/>
  <c r="J289" i="4"/>
  <c r="K289" i="4" s="1"/>
  <c r="J290" i="4"/>
  <c r="K290" i="4" s="1"/>
  <c r="J291" i="4"/>
  <c r="K291" i="4" s="1"/>
  <c r="J292" i="4"/>
  <c r="K292" i="4" s="1"/>
  <c r="J293" i="4"/>
  <c r="K293" i="4" s="1"/>
  <c r="J294" i="4"/>
  <c r="K294" i="4" s="1"/>
  <c r="J295" i="4"/>
  <c r="K295" i="4" s="1"/>
  <c r="J296" i="4"/>
  <c r="K296" i="4" s="1"/>
  <c r="J297" i="4"/>
  <c r="K297" i="4" s="1"/>
  <c r="J298" i="4"/>
  <c r="K298" i="4" s="1"/>
  <c r="J299" i="4"/>
  <c r="K299" i="4" s="1"/>
  <c r="J300" i="4"/>
  <c r="K300" i="4" s="1"/>
  <c r="J301" i="4"/>
  <c r="K301" i="4" s="1"/>
  <c r="J302" i="4"/>
  <c r="K302" i="4" s="1"/>
  <c r="J303" i="4"/>
  <c r="K303" i="4" s="1"/>
  <c r="J304" i="4"/>
  <c r="K304" i="4" s="1"/>
  <c r="J305" i="4"/>
  <c r="K305" i="4" s="1"/>
  <c r="J306" i="4"/>
  <c r="K306" i="4" s="1"/>
  <c r="J307" i="4"/>
  <c r="K307" i="4" s="1"/>
  <c r="J308" i="4"/>
  <c r="K308" i="4" s="1"/>
  <c r="J309" i="4"/>
  <c r="K309" i="4" s="1"/>
  <c r="J310" i="4"/>
  <c r="K310" i="4" s="1"/>
  <c r="J311" i="4"/>
  <c r="K311" i="4" s="1"/>
  <c r="J312" i="4"/>
  <c r="K312" i="4" s="1"/>
  <c r="J313" i="4"/>
  <c r="K313" i="4" s="1"/>
  <c r="J314" i="4"/>
  <c r="K314" i="4" s="1"/>
  <c r="J315" i="4"/>
  <c r="K315" i="4" s="1"/>
  <c r="J316" i="4"/>
  <c r="K316" i="4" s="1"/>
  <c r="J317" i="4"/>
  <c r="K317" i="4" s="1"/>
  <c r="J318" i="4"/>
  <c r="K318" i="4" s="1"/>
  <c r="J319" i="4"/>
  <c r="K319" i="4" s="1"/>
  <c r="J320" i="4"/>
  <c r="K320" i="4" s="1"/>
  <c r="J321" i="4"/>
  <c r="K321" i="4" s="1"/>
  <c r="J322" i="4"/>
  <c r="K322" i="4" s="1"/>
  <c r="J323" i="4"/>
  <c r="K323" i="4" s="1"/>
  <c r="J324" i="4"/>
  <c r="K324" i="4" s="1"/>
  <c r="J325" i="4"/>
  <c r="K325" i="4" s="1"/>
  <c r="J326" i="4"/>
  <c r="K326" i="4" s="1"/>
  <c r="J327" i="4"/>
  <c r="K327" i="4" s="1"/>
  <c r="J328" i="4"/>
  <c r="K328" i="4" s="1"/>
  <c r="J329" i="4"/>
  <c r="K329" i="4" s="1"/>
  <c r="J330" i="4"/>
  <c r="K330" i="4" s="1"/>
  <c r="J331" i="4"/>
  <c r="K331" i="4" s="1"/>
  <c r="J332" i="4"/>
  <c r="K332" i="4" s="1"/>
  <c r="J333" i="4"/>
  <c r="K333" i="4" s="1"/>
  <c r="J334" i="4"/>
  <c r="K334" i="4" s="1"/>
  <c r="J335" i="4"/>
  <c r="K335" i="4" s="1"/>
  <c r="J336" i="4"/>
  <c r="K336" i="4" s="1"/>
  <c r="J337" i="4"/>
  <c r="K337" i="4" s="1"/>
  <c r="J338" i="4"/>
  <c r="K338" i="4" s="1"/>
  <c r="J339" i="4"/>
  <c r="K339" i="4" s="1"/>
  <c r="J340" i="4"/>
  <c r="K340" i="4" s="1"/>
  <c r="J341" i="4"/>
  <c r="K341" i="4" s="1"/>
  <c r="J342" i="4"/>
  <c r="K342" i="4" s="1"/>
  <c r="J343" i="4"/>
  <c r="K343" i="4" s="1"/>
  <c r="J344" i="4"/>
  <c r="K344" i="4" s="1"/>
  <c r="J345" i="4"/>
  <c r="K345" i="4" s="1"/>
  <c r="J346" i="4"/>
  <c r="K346" i="4" s="1"/>
  <c r="J347" i="4"/>
  <c r="K347" i="4" s="1"/>
  <c r="J348" i="4"/>
  <c r="K348" i="4" s="1"/>
  <c r="J349" i="4"/>
  <c r="K349" i="4" s="1"/>
  <c r="J350" i="4"/>
  <c r="K350" i="4" s="1"/>
  <c r="J351" i="4"/>
  <c r="K351" i="4" s="1"/>
  <c r="J352" i="4"/>
  <c r="K352" i="4" s="1"/>
  <c r="J353" i="4"/>
  <c r="K353" i="4" s="1"/>
  <c r="J354" i="4"/>
  <c r="K354" i="4" s="1"/>
  <c r="J355" i="4"/>
  <c r="K355" i="4" s="1"/>
  <c r="J356" i="4"/>
  <c r="K356" i="4" s="1"/>
  <c r="J357" i="4"/>
  <c r="K357" i="4" s="1"/>
  <c r="J358" i="4"/>
  <c r="K358" i="4" s="1"/>
  <c r="J359" i="4"/>
  <c r="K359" i="4" s="1"/>
  <c r="J360" i="4"/>
  <c r="K360" i="4" s="1"/>
  <c r="J361" i="4"/>
  <c r="K361" i="4" s="1"/>
  <c r="J362" i="4"/>
  <c r="K362" i="4" s="1"/>
  <c r="J363" i="4"/>
  <c r="K363" i="4" s="1"/>
  <c r="J364" i="4"/>
  <c r="K364" i="4" s="1"/>
  <c r="J365" i="4"/>
  <c r="K365" i="4" s="1"/>
  <c r="J366" i="4"/>
  <c r="K366" i="4" s="1"/>
  <c r="J367" i="4"/>
  <c r="K367" i="4" s="1"/>
  <c r="J368" i="4"/>
  <c r="K368" i="4" s="1"/>
  <c r="J369" i="4"/>
  <c r="K369" i="4" s="1"/>
  <c r="J370" i="4"/>
  <c r="K370" i="4" s="1"/>
  <c r="J371" i="4"/>
  <c r="K371" i="4" s="1"/>
  <c r="J372" i="4"/>
  <c r="K372" i="4" s="1"/>
  <c r="J373" i="4"/>
  <c r="K373" i="4" s="1"/>
  <c r="J374" i="4"/>
  <c r="K374" i="4" s="1"/>
  <c r="J375" i="4"/>
  <c r="K375" i="4" s="1"/>
  <c r="J376" i="4"/>
  <c r="K376" i="4" s="1"/>
  <c r="J377" i="4"/>
  <c r="K377" i="4" s="1"/>
  <c r="J378" i="4"/>
  <c r="K378" i="4" s="1"/>
  <c r="J379" i="4"/>
  <c r="K379" i="4" s="1"/>
  <c r="J380" i="4"/>
  <c r="K380" i="4" s="1"/>
  <c r="J381" i="4"/>
  <c r="K381" i="4" s="1"/>
  <c r="J382" i="4"/>
  <c r="K382" i="4" s="1"/>
  <c r="J383" i="4"/>
  <c r="K383" i="4" s="1"/>
  <c r="J384" i="4"/>
  <c r="K384" i="4" s="1"/>
  <c r="J385" i="4"/>
  <c r="K385" i="4" s="1"/>
  <c r="J386" i="4"/>
  <c r="K386" i="4" s="1"/>
  <c r="J387" i="4"/>
  <c r="K387" i="4" s="1"/>
  <c r="J388" i="4"/>
  <c r="K388" i="4" s="1"/>
  <c r="J389" i="4"/>
  <c r="K389" i="4" s="1"/>
  <c r="J390" i="4"/>
  <c r="K390" i="4" s="1"/>
  <c r="J391" i="4"/>
  <c r="K391" i="4" s="1"/>
  <c r="J392" i="4"/>
  <c r="K392" i="4" s="1"/>
  <c r="J393" i="4"/>
  <c r="K393" i="4" s="1"/>
  <c r="J394" i="4"/>
  <c r="K394" i="4" s="1"/>
  <c r="J395" i="4"/>
  <c r="K395" i="4" s="1"/>
  <c r="J396" i="4"/>
  <c r="K396" i="4" s="1"/>
  <c r="J397" i="4"/>
  <c r="K397" i="4" s="1"/>
  <c r="J398" i="4"/>
  <c r="K398" i="4" s="1"/>
  <c r="J399" i="4"/>
  <c r="K399" i="4" s="1"/>
  <c r="J400" i="4"/>
  <c r="K400" i="4" s="1"/>
  <c r="J401" i="4"/>
  <c r="K401" i="4" s="1"/>
  <c r="J402" i="4"/>
  <c r="K402" i="4" s="1"/>
  <c r="J403" i="4"/>
  <c r="K403" i="4" s="1"/>
  <c r="J404" i="4"/>
  <c r="K404" i="4" s="1"/>
  <c r="J405" i="4"/>
  <c r="K405" i="4" s="1"/>
  <c r="J406" i="4"/>
  <c r="K406" i="4" s="1"/>
  <c r="J407" i="4"/>
  <c r="K407" i="4" s="1"/>
  <c r="J408" i="4"/>
  <c r="K408" i="4" s="1"/>
  <c r="J409" i="4"/>
  <c r="K409" i="4" s="1"/>
  <c r="J410" i="4"/>
  <c r="K410" i="4" s="1"/>
  <c r="J411" i="4"/>
  <c r="K411" i="4" s="1"/>
  <c r="J412" i="4"/>
  <c r="K412" i="4" s="1"/>
  <c r="J413" i="4"/>
  <c r="K413" i="4" s="1"/>
  <c r="J414" i="4"/>
  <c r="K414" i="4" s="1"/>
  <c r="J415" i="4"/>
  <c r="K415" i="4" s="1"/>
  <c r="J416" i="4"/>
  <c r="K416" i="4" s="1"/>
  <c r="J417" i="4"/>
  <c r="K417" i="4" s="1"/>
  <c r="J418" i="4"/>
  <c r="K418" i="4" s="1"/>
  <c r="J419" i="4"/>
  <c r="K419" i="4" s="1"/>
  <c r="J420" i="4"/>
  <c r="K420" i="4" s="1"/>
  <c r="J421" i="4"/>
  <c r="K421" i="4" s="1"/>
  <c r="J422" i="4"/>
  <c r="K422" i="4" s="1"/>
  <c r="J423" i="4"/>
  <c r="K423" i="4" s="1"/>
  <c r="J424" i="4"/>
  <c r="K424" i="4" s="1"/>
  <c r="J425" i="4"/>
  <c r="K425" i="4" s="1"/>
  <c r="J426" i="4"/>
  <c r="K426" i="4" s="1"/>
  <c r="J427" i="4"/>
  <c r="K427" i="4" s="1"/>
  <c r="J428" i="4"/>
  <c r="K428" i="4" s="1"/>
  <c r="J429" i="4"/>
  <c r="K429" i="4" s="1"/>
  <c r="J430" i="4"/>
  <c r="K430" i="4" s="1"/>
  <c r="J431" i="4"/>
  <c r="K431" i="4" s="1"/>
  <c r="J432" i="4"/>
  <c r="K432" i="4" s="1"/>
  <c r="J433" i="4"/>
  <c r="K433" i="4" s="1"/>
  <c r="J434" i="4"/>
  <c r="K434" i="4" s="1"/>
  <c r="J435" i="4"/>
  <c r="K435" i="4" s="1"/>
  <c r="J436" i="4"/>
  <c r="K436" i="4" s="1"/>
  <c r="J437" i="4"/>
  <c r="K437" i="4" s="1"/>
  <c r="J438" i="4"/>
  <c r="K438" i="4" s="1"/>
  <c r="J439" i="4"/>
  <c r="K439" i="4" s="1"/>
  <c r="J440" i="4"/>
  <c r="K440" i="4" s="1"/>
  <c r="J441" i="4"/>
  <c r="K441" i="4" s="1"/>
  <c r="J442" i="4"/>
  <c r="K442" i="4" s="1"/>
  <c r="J443" i="4"/>
  <c r="K443" i="4" s="1"/>
  <c r="J444" i="4"/>
  <c r="K444" i="4" s="1"/>
  <c r="J445" i="4"/>
  <c r="K445" i="4" s="1"/>
  <c r="J446" i="4"/>
  <c r="K446" i="4" s="1"/>
  <c r="J447" i="4"/>
  <c r="K447" i="4" s="1"/>
  <c r="J448" i="4"/>
  <c r="K448" i="4" s="1"/>
  <c r="J449" i="4"/>
  <c r="K449" i="4" s="1"/>
  <c r="J450" i="4"/>
  <c r="K450" i="4" s="1"/>
  <c r="J451" i="4"/>
  <c r="K451" i="4" s="1"/>
  <c r="J452" i="4"/>
  <c r="K452" i="4" s="1"/>
  <c r="J453" i="4"/>
  <c r="K453" i="4" s="1"/>
  <c r="J454" i="4"/>
  <c r="K454" i="4" s="1"/>
  <c r="J455" i="4"/>
  <c r="K455" i="4" s="1"/>
  <c r="J456" i="4"/>
  <c r="K456" i="4" s="1"/>
  <c r="J457" i="4"/>
  <c r="K457" i="4" s="1"/>
  <c r="J458" i="4"/>
  <c r="K458" i="4" s="1"/>
  <c r="J459" i="4"/>
  <c r="K459" i="4" s="1"/>
  <c r="J460" i="4"/>
  <c r="K460" i="4" s="1"/>
  <c r="J461" i="4"/>
  <c r="K461" i="4" s="1"/>
  <c r="J462" i="4"/>
  <c r="K462" i="4" s="1"/>
  <c r="J463" i="4"/>
  <c r="K463" i="4" s="1"/>
  <c r="J464" i="4"/>
  <c r="K464" i="4" s="1"/>
  <c r="J465" i="4"/>
  <c r="K465" i="4" s="1"/>
  <c r="J466" i="4"/>
  <c r="K466" i="4" s="1"/>
  <c r="J467" i="4"/>
  <c r="K467" i="4" s="1"/>
  <c r="J468" i="4"/>
  <c r="K468" i="4" s="1"/>
  <c r="J469" i="4"/>
  <c r="K469" i="4" s="1"/>
  <c r="J470" i="4"/>
  <c r="K470" i="4" s="1"/>
  <c r="J471" i="4"/>
  <c r="K471" i="4" s="1"/>
  <c r="J472" i="4"/>
  <c r="K472" i="4" s="1"/>
  <c r="J473" i="4"/>
  <c r="K473" i="4" s="1"/>
  <c r="J474" i="4"/>
  <c r="K474" i="4" s="1"/>
  <c r="J475" i="4"/>
  <c r="K475" i="4" s="1"/>
  <c r="J476" i="4"/>
  <c r="K476" i="4" s="1"/>
  <c r="J477" i="4"/>
  <c r="K477" i="4" s="1"/>
  <c r="J478" i="4"/>
  <c r="K478" i="4" s="1"/>
  <c r="J479" i="4"/>
  <c r="K479" i="4" s="1"/>
  <c r="J480" i="4"/>
  <c r="K480" i="4" s="1"/>
  <c r="J481" i="4"/>
  <c r="K481" i="4" s="1"/>
  <c r="J482" i="4"/>
  <c r="K482" i="4" s="1"/>
  <c r="J483" i="4"/>
  <c r="K483" i="4" s="1"/>
  <c r="J484" i="4"/>
  <c r="K484" i="4" s="1"/>
  <c r="J485" i="4"/>
  <c r="K485" i="4" s="1"/>
  <c r="J486" i="4"/>
  <c r="K486" i="4" s="1"/>
  <c r="J487" i="4"/>
  <c r="K487" i="4" s="1"/>
  <c r="J488" i="4"/>
  <c r="K488" i="4" s="1"/>
  <c r="J489" i="4"/>
  <c r="K489" i="4" s="1"/>
  <c r="J490" i="4"/>
  <c r="K490" i="4" s="1"/>
  <c r="J491" i="4"/>
  <c r="K491" i="4" s="1"/>
  <c r="J492" i="4"/>
  <c r="K492" i="4" s="1"/>
  <c r="J493" i="4"/>
  <c r="K493" i="4" s="1"/>
  <c r="J494" i="4"/>
  <c r="K494" i="4" s="1"/>
  <c r="J495" i="4"/>
  <c r="K495" i="4" s="1"/>
  <c r="J496" i="4"/>
  <c r="K496" i="4" s="1"/>
  <c r="J497" i="4"/>
  <c r="K497" i="4" s="1"/>
  <c r="J498" i="4"/>
  <c r="K498" i="4" s="1"/>
  <c r="J499" i="4"/>
  <c r="K499" i="4" s="1"/>
  <c r="J500" i="4"/>
  <c r="K500" i="4" s="1"/>
  <c r="J501" i="4"/>
  <c r="K501" i="4" s="1"/>
  <c r="J502" i="4"/>
  <c r="K502" i="4" s="1"/>
  <c r="J503" i="4"/>
  <c r="K503" i="4" s="1"/>
  <c r="J504" i="4"/>
  <c r="K504" i="4" s="1"/>
  <c r="J505" i="4"/>
  <c r="K505" i="4" s="1"/>
  <c r="J506" i="4"/>
  <c r="K506" i="4" s="1"/>
  <c r="J6" i="4"/>
  <c r="Y50" i="4"/>
  <c r="Y49" i="4"/>
  <c r="Y48" i="4"/>
  <c r="Y47" i="4"/>
  <c r="Y46" i="4"/>
  <c r="Y45" i="4"/>
  <c r="Y44" i="4"/>
  <c r="Y43" i="4"/>
  <c r="Y42" i="4"/>
  <c r="Y41" i="4"/>
  <c r="Y40" i="4"/>
  <c r="Y39" i="4"/>
  <c r="Y38" i="4"/>
  <c r="Y37" i="4"/>
  <c r="Y36" i="4"/>
  <c r="Y35" i="4"/>
  <c r="Y27" i="4"/>
  <c r="Y28" i="4"/>
  <c r="Y29" i="4"/>
  <c r="Y30" i="4"/>
  <c r="Y31" i="4"/>
  <c r="Y32" i="4"/>
  <c r="Y33" i="4"/>
  <c r="Y34" i="4"/>
  <c r="Y26" i="4"/>
  <c r="Y25" i="4"/>
  <c r="Y24" i="4"/>
  <c r="Y23" i="4"/>
  <c r="Y22" i="4"/>
  <c r="Y21" i="4"/>
  <c r="Y20" i="4"/>
  <c r="Y19" i="4"/>
  <c r="B59" i="1"/>
  <c r="I33" i="2"/>
  <c r="I38" i="2"/>
  <c r="I26" i="2"/>
  <c r="I40" i="2"/>
  <c r="I27" i="2"/>
  <c r="I41" i="2"/>
  <c r="B6" i="2"/>
  <c r="B4" i="2"/>
  <c r="M22" i="2"/>
  <c r="L22" i="2"/>
  <c r="K22" i="2"/>
  <c r="J22" i="2"/>
  <c r="M19" i="2"/>
  <c r="L19" i="2"/>
  <c r="K19" i="2"/>
  <c r="J19" i="2"/>
  <c r="I19" i="2"/>
  <c r="F19" i="2"/>
  <c r="E19" i="2"/>
  <c r="D19" i="2"/>
  <c r="C19" i="2"/>
  <c r="B55" i="1"/>
  <c r="L21" i="4" l="1"/>
  <c r="L22" i="4"/>
  <c r="L20" i="4"/>
  <c r="L12" i="4"/>
  <c r="L6" i="4"/>
  <c r="L19" i="4"/>
  <c r="L11" i="4"/>
  <c r="L10" i="4"/>
  <c r="L9" i="4"/>
  <c r="L16" i="4"/>
  <c r="L8" i="4"/>
  <c r="L7" i="4"/>
  <c r="L18" i="4"/>
  <c r="L17" i="4"/>
  <c r="L15" i="4"/>
  <c r="L14" i="4"/>
  <c r="L13" i="4"/>
  <c r="K78" i="4"/>
  <c r="K70" i="4"/>
  <c r="K62" i="4"/>
  <c r="K54" i="4"/>
  <c r="K46" i="4"/>
  <c r="K77" i="4"/>
  <c r="K69" i="4"/>
  <c r="K61" i="4"/>
  <c r="K53" i="4"/>
  <c r="K45" i="4"/>
  <c r="K76" i="4"/>
  <c r="K68" i="4"/>
  <c r="K60" i="4"/>
  <c r="K52" i="4"/>
  <c r="K44" i="4"/>
  <c r="K75" i="4"/>
  <c r="K67" i="4"/>
  <c r="K59" i="4"/>
  <c r="K51" i="4"/>
  <c r="K43" i="4"/>
  <c r="K66" i="4"/>
  <c r="K50" i="4"/>
  <c r="K81" i="4"/>
  <c r="K73" i="4"/>
  <c r="K65" i="4"/>
  <c r="K57" i="4"/>
  <c r="K49" i="4"/>
  <c r="K41" i="4"/>
  <c r="K74" i="4"/>
  <c r="K42" i="4"/>
  <c r="K80" i="4"/>
  <c r="K72" i="4"/>
  <c r="K64" i="4"/>
  <c r="K56" i="4"/>
  <c r="K48" i="4"/>
  <c r="K40" i="4"/>
  <c r="K82" i="4"/>
  <c r="K58" i="4"/>
  <c r="K79" i="4"/>
  <c r="K71" i="4"/>
  <c r="K63" i="4"/>
  <c r="K55" i="4"/>
  <c r="K47" i="4"/>
  <c r="K39" i="4"/>
  <c r="K6" i="4"/>
  <c r="K33" i="4"/>
  <c r="K25" i="4"/>
  <c r="K17" i="4"/>
  <c r="K32" i="4"/>
  <c r="K24" i="4"/>
  <c r="K16" i="4"/>
  <c r="K31" i="4"/>
  <c r="K23" i="4"/>
  <c r="K15" i="4"/>
  <c r="K37" i="4"/>
  <c r="K29" i="4"/>
  <c r="K21" i="4"/>
  <c r="K13" i="4"/>
  <c r="K38" i="4"/>
  <c r="K14" i="4"/>
  <c r="K36" i="4"/>
  <c r="K28" i="4"/>
  <c r="K20" i="4"/>
  <c r="K30" i="4"/>
  <c r="K35" i="4"/>
  <c r="K27" i="4"/>
  <c r="K19" i="4"/>
  <c r="K22" i="4"/>
  <c r="K34" i="4"/>
  <c r="K26" i="4"/>
  <c r="K18" i="4"/>
  <c r="B63" i="1"/>
  <c r="I22" i="2"/>
  <c r="I39" i="2"/>
  <c r="I30" i="2"/>
  <c r="I25" i="2"/>
  <c r="B36" i="5"/>
  <c r="I28" i="2"/>
  <c r="I36" i="2"/>
  <c r="I37" i="2"/>
  <c r="I29" i="2"/>
  <c r="Q13" i="2"/>
  <c r="I32" i="2"/>
  <c r="Q14" i="2"/>
  <c r="I42" i="2"/>
  <c r="I23" i="2"/>
  <c r="O16" i="2"/>
  <c r="I34" i="2"/>
  <c r="I94" i="2"/>
  <c r="I90" i="2"/>
  <c r="I89" i="2"/>
  <c r="I88" i="2"/>
  <c r="I78" i="2"/>
  <c r="I87" i="2"/>
  <c r="I77" i="2"/>
  <c r="I86" i="2"/>
  <c r="I85" i="2"/>
  <c r="I84" i="2"/>
  <c r="I83" i="2"/>
  <c r="I82" i="2"/>
  <c r="I80" i="2"/>
  <c r="I79" i="2"/>
  <c r="I92" i="2"/>
  <c r="I91" i="2"/>
  <c r="I76" i="2"/>
  <c r="I75" i="2"/>
  <c r="I74" i="2"/>
  <c r="I72" i="2"/>
  <c r="I73" i="2"/>
  <c r="B7" i="2"/>
  <c r="K11" i="4"/>
  <c r="I66" i="2"/>
  <c r="I57" i="2"/>
  <c r="I52" i="2"/>
  <c r="I63" i="2"/>
  <c r="I59" i="2"/>
  <c r="I53" i="2"/>
  <c r="I58" i="2"/>
  <c r="I48" i="2"/>
  <c r="I49" i="2"/>
  <c r="I54" i="2"/>
  <c r="I55" i="2"/>
  <c r="I67" i="2"/>
  <c r="I62" i="2"/>
  <c r="I69" i="2"/>
  <c r="I64" i="2"/>
  <c r="I60" i="2"/>
  <c r="I61" i="2"/>
  <c r="I47" i="2"/>
  <c r="I50" i="2"/>
  <c r="I65" i="2"/>
  <c r="I51" i="2"/>
  <c r="R107" i="4"/>
  <c r="R147" i="4"/>
  <c r="R179" i="4"/>
  <c r="R211" i="4"/>
  <c r="R235" i="4"/>
  <c r="R251" i="4"/>
  <c r="R259" i="4"/>
  <c r="R267" i="4"/>
  <c r="R275" i="4"/>
  <c r="R283" i="4"/>
  <c r="R291" i="4"/>
  <c r="R299" i="4"/>
  <c r="R307" i="4"/>
  <c r="R315" i="4"/>
  <c r="R323" i="4"/>
  <c r="R331" i="4"/>
  <c r="R339" i="4"/>
  <c r="R347" i="4"/>
  <c r="R355" i="4"/>
  <c r="R363" i="4"/>
  <c r="R371" i="4"/>
  <c r="R379" i="4"/>
  <c r="R387" i="4"/>
  <c r="R395" i="4"/>
  <c r="R403" i="4"/>
  <c r="R411" i="4"/>
  <c r="R419" i="4"/>
  <c r="R427" i="4"/>
  <c r="R435" i="4"/>
  <c r="R443" i="4"/>
  <c r="R451" i="4"/>
  <c r="R459" i="4"/>
  <c r="R467" i="4"/>
  <c r="R475" i="4"/>
  <c r="R483" i="4"/>
  <c r="R491" i="4"/>
  <c r="R499" i="4"/>
  <c r="R100" i="4"/>
  <c r="R268" i="4"/>
  <c r="R364" i="4"/>
  <c r="R412" i="4"/>
  <c r="R436" i="4"/>
  <c r="R444" i="4"/>
  <c r="R460" i="4"/>
  <c r="R468" i="4"/>
  <c r="R476" i="4"/>
  <c r="R484" i="4"/>
  <c r="R492" i="4"/>
  <c r="R500" i="4"/>
  <c r="R91" i="4"/>
  <c r="R99" i="4"/>
  <c r="R115" i="4"/>
  <c r="R123" i="4"/>
  <c r="R131" i="4"/>
  <c r="R139" i="4"/>
  <c r="R155" i="4"/>
  <c r="R163" i="4"/>
  <c r="R171" i="4"/>
  <c r="R187" i="4"/>
  <c r="R195" i="4"/>
  <c r="R203" i="4"/>
  <c r="R219" i="4"/>
  <c r="R227" i="4"/>
  <c r="R243" i="4"/>
  <c r="R84" i="4"/>
  <c r="R92" i="4"/>
  <c r="R108" i="4"/>
  <c r="R116" i="4"/>
  <c r="R124" i="4"/>
  <c r="R132" i="4"/>
  <c r="R140" i="4"/>
  <c r="R148" i="4"/>
  <c r="R156" i="4"/>
  <c r="R164" i="4"/>
  <c r="R172" i="4"/>
  <c r="R180" i="4"/>
  <c r="R188" i="4"/>
  <c r="R196" i="4"/>
  <c r="R204" i="4"/>
  <c r="R212" i="4"/>
  <c r="R220" i="4"/>
  <c r="R228" i="4"/>
  <c r="R236" i="4"/>
  <c r="R244" i="4"/>
  <c r="R252" i="4"/>
  <c r="R260" i="4"/>
  <c r="R276" i="4"/>
  <c r="R284" i="4"/>
  <c r="R292" i="4"/>
  <c r="R300" i="4"/>
  <c r="R308" i="4"/>
  <c r="R316" i="4"/>
  <c r="R324" i="4"/>
  <c r="R332" i="4"/>
  <c r="R340" i="4"/>
  <c r="R348" i="4"/>
  <c r="R356" i="4"/>
  <c r="R372" i="4"/>
  <c r="R380" i="4"/>
  <c r="R388" i="4"/>
  <c r="R396" i="4"/>
  <c r="R404" i="4"/>
  <c r="R420" i="4"/>
  <c r="R428" i="4"/>
  <c r="R452" i="4"/>
  <c r="R85" i="4"/>
  <c r="R93" i="4"/>
  <c r="R101" i="4"/>
  <c r="R109" i="4"/>
  <c r="R117" i="4"/>
  <c r="R125" i="4"/>
  <c r="R133" i="4"/>
  <c r="R141" i="4"/>
  <c r="R149" i="4"/>
  <c r="R157" i="4"/>
  <c r="R165" i="4"/>
  <c r="R173" i="4"/>
  <c r="R181" i="4"/>
  <c r="R189" i="4"/>
  <c r="R197" i="4"/>
  <c r="R205" i="4"/>
  <c r="R213" i="4"/>
  <c r="R221" i="4"/>
  <c r="R229" i="4"/>
  <c r="R237" i="4"/>
  <c r="R245" i="4"/>
  <c r="R253" i="4"/>
  <c r="R261" i="4"/>
  <c r="R269" i="4"/>
  <c r="R277" i="4"/>
  <c r="R285" i="4"/>
  <c r="R293" i="4"/>
  <c r="R301" i="4"/>
  <c r="R309" i="4"/>
  <c r="R317" i="4"/>
  <c r="R325" i="4"/>
  <c r="R333" i="4"/>
  <c r="R341" i="4"/>
  <c r="R349" i="4"/>
  <c r="R357" i="4"/>
  <c r="R365" i="4"/>
  <c r="R373" i="4"/>
  <c r="R381" i="4"/>
  <c r="R389" i="4"/>
  <c r="R397" i="4"/>
  <c r="R405" i="4"/>
  <c r="R413" i="4"/>
  <c r="R421" i="4"/>
  <c r="R429" i="4"/>
  <c r="R437" i="4"/>
  <c r="R445" i="4"/>
  <c r="R453" i="4"/>
  <c r="R461" i="4"/>
  <c r="R469" i="4"/>
  <c r="R477" i="4"/>
  <c r="R485" i="4"/>
  <c r="R493" i="4"/>
  <c r="R501" i="4"/>
  <c r="R206" i="4"/>
  <c r="R502" i="4"/>
  <c r="R503" i="4"/>
  <c r="R94" i="4"/>
  <c r="R118" i="4"/>
  <c r="R134" i="4"/>
  <c r="R158" i="4"/>
  <c r="R190" i="4"/>
  <c r="R222" i="4"/>
  <c r="R238" i="4"/>
  <c r="R262" i="4"/>
  <c r="R286" i="4"/>
  <c r="R310" i="4"/>
  <c r="R334" i="4"/>
  <c r="R358" i="4"/>
  <c r="R398" i="4"/>
  <c r="R422" i="4"/>
  <c r="R446" i="4"/>
  <c r="R470" i="4"/>
  <c r="R494" i="4"/>
  <c r="R103" i="4"/>
  <c r="R127" i="4"/>
  <c r="R151" i="4"/>
  <c r="R175" i="4"/>
  <c r="R199" i="4"/>
  <c r="R223" i="4"/>
  <c r="R247" i="4"/>
  <c r="R279" i="4"/>
  <c r="R303" i="4"/>
  <c r="R327" i="4"/>
  <c r="R351" i="4"/>
  <c r="R375" i="4"/>
  <c r="R391" i="4"/>
  <c r="R415" i="4"/>
  <c r="R431" i="4"/>
  <c r="R447" i="4"/>
  <c r="R463" i="4"/>
  <c r="R495" i="4"/>
  <c r="R88" i="4"/>
  <c r="R96" i="4"/>
  <c r="R104" i="4"/>
  <c r="R112" i="4"/>
  <c r="R120" i="4"/>
  <c r="R128" i="4"/>
  <c r="R136" i="4"/>
  <c r="R144" i="4"/>
  <c r="R152" i="4"/>
  <c r="R160" i="4"/>
  <c r="R168" i="4"/>
  <c r="R176" i="4"/>
  <c r="R184" i="4"/>
  <c r="R192" i="4"/>
  <c r="R200" i="4"/>
  <c r="R208" i="4"/>
  <c r="R216" i="4"/>
  <c r="R224" i="4"/>
  <c r="R232" i="4"/>
  <c r="R240" i="4"/>
  <c r="R248" i="4"/>
  <c r="R256" i="4"/>
  <c r="R264" i="4"/>
  <c r="R272" i="4"/>
  <c r="R280" i="4"/>
  <c r="R288" i="4"/>
  <c r="R296" i="4"/>
  <c r="R304" i="4"/>
  <c r="R312" i="4"/>
  <c r="R320" i="4"/>
  <c r="R328" i="4"/>
  <c r="R336" i="4"/>
  <c r="R344" i="4"/>
  <c r="R352" i="4"/>
  <c r="R360" i="4"/>
  <c r="R368" i="4"/>
  <c r="R376" i="4"/>
  <c r="R384" i="4"/>
  <c r="R392" i="4"/>
  <c r="R400" i="4"/>
  <c r="R408" i="4"/>
  <c r="R416" i="4"/>
  <c r="R424" i="4"/>
  <c r="R432" i="4"/>
  <c r="R440" i="4"/>
  <c r="R448" i="4"/>
  <c r="R456" i="4"/>
  <c r="R464" i="4"/>
  <c r="R472" i="4"/>
  <c r="R480" i="4"/>
  <c r="R488" i="4"/>
  <c r="R496" i="4"/>
  <c r="R504" i="4"/>
  <c r="R86" i="4"/>
  <c r="R110" i="4"/>
  <c r="R142" i="4"/>
  <c r="R174" i="4"/>
  <c r="R198" i="4"/>
  <c r="R230" i="4"/>
  <c r="R254" i="4"/>
  <c r="R278" i="4"/>
  <c r="R302" i="4"/>
  <c r="R326" i="4"/>
  <c r="R350" i="4"/>
  <c r="R374" i="4"/>
  <c r="R390" i="4"/>
  <c r="R414" i="4"/>
  <c r="R438" i="4"/>
  <c r="R462" i="4"/>
  <c r="R478" i="4"/>
  <c r="R95" i="4"/>
  <c r="R119" i="4"/>
  <c r="R143" i="4"/>
  <c r="R167" i="4"/>
  <c r="R191" i="4"/>
  <c r="R207" i="4"/>
  <c r="R231" i="4"/>
  <c r="R255" i="4"/>
  <c r="R271" i="4"/>
  <c r="R295" i="4"/>
  <c r="R319" i="4"/>
  <c r="R335" i="4"/>
  <c r="R359" i="4"/>
  <c r="R383" i="4"/>
  <c r="R407" i="4"/>
  <c r="R423" i="4"/>
  <c r="R439" i="4"/>
  <c r="R455" i="4"/>
  <c r="R471" i="4"/>
  <c r="R487" i="4"/>
  <c r="R89" i="4"/>
  <c r="R97" i="4"/>
  <c r="R105" i="4"/>
  <c r="R113" i="4"/>
  <c r="R121" i="4"/>
  <c r="R129" i="4"/>
  <c r="R137" i="4"/>
  <c r="R145" i="4"/>
  <c r="R153" i="4"/>
  <c r="R161" i="4"/>
  <c r="R169" i="4"/>
  <c r="R177" i="4"/>
  <c r="R185" i="4"/>
  <c r="R193" i="4"/>
  <c r="R201" i="4"/>
  <c r="R209" i="4"/>
  <c r="R217" i="4"/>
  <c r="R225" i="4"/>
  <c r="R233" i="4"/>
  <c r="R241" i="4"/>
  <c r="R249" i="4"/>
  <c r="R257" i="4"/>
  <c r="R265" i="4"/>
  <c r="R273" i="4"/>
  <c r="R281" i="4"/>
  <c r="R289" i="4"/>
  <c r="R297" i="4"/>
  <c r="R305" i="4"/>
  <c r="R313" i="4"/>
  <c r="R321" i="4"/>
  <c r="R329" i="4"/>
  <c r="R337" i="4"/>
  <c r="R345" i="4"/>
  <c r="R353" i="4"/>
  <c r="R361" i="4"/>
  <c r="R369" i="4"/>
  <c r="R377" i="4"/>
  <c r="R385" i="4"/>
  <c r="R393" i="4"/>
  <c r="R401" i="4"/>
  <c r="R409" i="4"/>
  <c r="R417" i="4"/>
  <c r="R425" i="4"/>
  <c r="R433" i="4"/>
  <c r="R441" i="4"/>
  <c r="R449" i="4"/>
  <c r="R457" i="4"/>
  <c r="R465" i="4"/>
  <c r="R473" i="4"/>
  <c r="R481" i="4"/>
  <c r="R489" i="4"/>
  <c r="R497" i="4"/>
  <c r="R505" i="4"/>
  <c r="R83" i="4"/>
  <c r="R102" i="4"/>
  <c r="R126" i="4"/>
  <c r="R150" i="4"/>
  <c r="R166" i="4"/>
  <c r="R182" i="4"/>
  <c r="R214" i="4"/>
  <c r="R246" i="4"/>
  <c r="R270" i="4"/>
  <c r="R294" i="4"/>
  <c r="R318" i="4"/>
  <c r="R342" i="4"/>
  <c r="R366" i="4"/>
  <c r="R382" i="4"/>
  <c r="R406" i="4"/>
  <c r="R430" i="4"/>
  <c r="R454" i="4"/>
  <c r="R486" i="4"/>
  <c r="R87" i="4"/>
  <c r="R111" i="4"/>
  <c r="R135" i="4"/>
  <c r="R159" i="4"/>
  <c r="R183" i="4"/>
  <c r="R215" i="4"/>
  <c r="R239" i="4"/>
  <c r="R263" i="4"/>
  <c r="R287" i="4"/>
  <c r="R311" i="4"/>
  <c r="R343" i="4"/>
  <c r="R367" i="4"/>
  <c r="R399" i="4"/>
  <c r="R479" i="4"/>
  <c r="R90" i="4"/>
  <c r="R98" i="4"/>
  <c r="R106" i="4"/>
  <c r="R114" i="4"/>
  <c r="R122" i="4"/>
  <c r="R130" i="4"/>
  <c r="R138" i="4"/>
  <c r="R146" i="4"/>
  <c r="R154" i="4"/>
  <c r="R162" i="4"/>
  <c r="R170" i="4"/>
  <c r="R178" i="4"/>
  <c r="R186" i="4"/>
  <c r="R194" i="4"/>
  <c r="R202" i="4"/>
  <c r="R210" i="4"/>
  <c r="R218" i="4"/>
  <c r="R226" i="4"/>
  <c r="R234" i="4"/>
  <c r="R242" i="4"/>
  <c r="R250" i="4"/>
  <c r="R258" i="4"/>
  <c r="R266" i="4"/>
  <c r="R274" i="4"/>
  <c r="R282" i="4"/>
  <c r="R290" i="4"/>
  <c r="R298" i="4"/>
  <c r="R306" i="4"/>
  <c r="R314" i="4"/>
  <c r="R322" i="4"/>
  <c r="R330" i="4"/>
  <c r="R338" i="4"/>
  <c r="R346" i="4"/>
  <c r="R354" i="4"/>
  <c r="R362" i="4"/>
  <c r="R370" i="4"/>
  <c r="R378" i="4"/>
  <c r="R386" i="4"/>
  <c r="R394" i="4"/>
  <c r="R402" i="4"/>
  <c r="R410" i="4"/>
  <c r="R418" i="4"/>
  <c r="R426" i="4"/>
  <c r="R434" i="4"/>
  <c r="R442" i="4"/>
  <c r="R450" i="4"/>
  <c r="R458" i="4"/>
  <c r="R466" i="4"/>
  <c r="R474" i="4"/>
  <c r="R482" i="4"/>
  <c r="R490" i="4"/>
  <c r="R498" i="4"/>
  <c r="R506" i="4"/>
  <c r="K12" i="4"/>
  <c r="K9" i="4"/>
  <c r="K8" i="4"/>
  <c r="K10" i="4"/>
  <c r="K7" i="4"/>
  <c r="I24" i="2"/>
  <c r="I44" i="2"/>
  <c r="B54" i="1" l="1"/>
  <c r="U24" i="2"/>
  <c r="O21" i="2"/>
  <c r="N46" i="2"/>
  <c r="N21" i="2"/>
  <c r="Q21" i="2" s="1"/>
  <c r="O46" i="2"/>
  <c r="X11" i="2"/>
  <c r="B33" i="5"/>
  <c r="P47" i="4"/>
  <c r="Q47" i="4" s="1"/>
  <c r="M47" i="4"/>
  <c r="N47" i="4" s="1"/>
  <c r="P55" i="4"/>
  <c r="Q55" i="4" s="1"/>
  <c r="M55" i="4"/>
  <c r="N55" i="4" s="1"/>
  <c r="M59" i="4"/>
  <c r="N59" i="4" s="1"/>
  <c r="P59" i="4"/>
  <c r="Q59" i="4" s="1"/>
  <c r="P46" i="4"/>
  <c r="Q46" i="4" s="1"/>
  <c r="M46" i="4"/>
  <c r="N46" i="4" s="1"/>
  <c r="M70" i="4"/>
  <c r="N70" i="4" s="1"/>
  <c r="P70" i="4"/>
  <c r="Q70" i="4" s="1"/>
  <c r="M73" i="4"/>
  <c r="N73" i="4" s="1"/>
  <c r="P73" i="4"/>
  <c r="Q73" i="4" s="1"/>
  <c r="M57" i="4"/>
  <c r="N57" i="4" s="1"/>
  <c r="P57" i="4"/>
  <c r="Q57" i="4" s="1"/>
  <c r="M48" i="4"/>
  <c r="N48" i="4" s="1"/>
  <c r="P48" i="4"/>
  <c r="Q48" i="4" s="1"/>
  <c r="M75" i="4"/>
  <c r="N75" i="4" s="1"/>
  <c r="P75" i="4"/>
  <c r="Q75" i="4" s="1"/>
  <c r="M65" i="4"/>
  <c r="N65" i="4" s="1"/>
  <c r="P65" i="4"/>
  <c r="Q65" i="4" s="1"/>
  <c r="P56" i="4"/>
  <c r="Q56" i="4" s="1"/>
  <c r="M56" i="4"/>
  <c r="N56" i="4" s="1"/>
  <c r="P52" i="4"/>
  <c r="Q52" i="4" s="1"/>
  <c r="M52" i="4"/>
  <c r="N52" i="4" s="1"/>
  <c r="M81" i="4"/>
  <c r="N81" i="4" s="1"/>
  <c r="P81" i="4"/>
  <c r="Q81" i="4" s="1"/>
  <c r="M76" i="4"/>
  <c r="N76" i="4" s="1"/>
  <c r="P76" i="4"/>
  <c r="Q76" i="4" s="1"/>
  <c r="P50" i="4"/>
  <c r="Q50" i="4" s="1"/>
  <c r="M50" i="4"/>
  <c r="N50" i="4" s="1"/>
  <c r="P58" i="4"/>
  <c r="Q58" i="4" s="1"/>
  <c r="M58" i="4"/>
  <c r="N58" i="4" s="1"/>
  <c r="P67" i="4"/>
  <c r="Q67" i="4" s="1"/>
  <c r="M67" i="4"/>
  <c r="N67" i="4" s="1"/>
  <c r="M63" i="4"/>
  <c r="N63" i="4" s="1"/>
  <c r="P63" i="4"/>
  <c r="Q63" i="4" s="1"/>
  <c r="M68" i="4"/>
  <c r="N68" i="4" s="1"/>
  <c r="P68" i="4"/>
  <c r="Q68" i="4" s="1"/>
  <c r="M71" i="4"/>
  <c r="N71" i="4" s="1"/>
  <c r="P71" i="4"/>
  <c r="Q71" i="4" s="1"/>
  <c r="M53" i="4"/>
  <c r="N53" i="4" s="1"/>
  <c r="P53" i="4"/>
  <c r="Q53" i="4" s="1"/>
  <c r="M62" i="4"/>
  <c r="N62" i="4" s="1"/>
  <c r="P62" i="4"/>
  <c r="Q62" i="4" s="1"/>
  <c r="P66" i="4"/>
  <c r="Q66" i="4" s="1"/>
  <c r="M66" i="4"/>
  <c r="N66" i="4" s="1"/>
  <c r="P61" i="4"/>
  <c r="Q61" i="4" s="1"/>
  <c r="M61" i="4"/>
  <c r="N61" i="4" s="1"/>
  <c r="O61" i="4" s="1"/>
  <c r="R61" i="4" s="1"/>
  <c r="M51" i="4"/>
  <c r="N51" i="4" s="1"/>
  <c r="P51" i="4"/>
  <c r="Q51" i="4" s="1"/>
  <c r="M79" i="4"/>
  <c r="N79" i="4" s="1"/>
  <c r="P79" i="4"/>
  <c r="Q79" i="4" s="1"/>
  <c r="M77" i="4"/>
  <c r="N77" i="4" s="1"/>
  <c r="P77" i="4"/>
  <c r="Q77" i="4" s="1"/>
  <c r="P64" i="4"/>
  <c r="Q64" i="4" s="1"/>
  <c r="M64" i="4"/>
  <c r="N64" i="4" s="1"/>
  <c r="P74" i="4"/>
  <c r="Q74" i="4" s="1"/>
  <c r="M74" i="4"/>
  <c r="N74" i="4" s="1"/>
  <c r="P78" i="4"/>
  <c r="Q78" i="4" s="1"/>
  <c r="M78" i="4"/>
  <c r="N78" i="4" s="1"/>
  <c r="P72" i="4"/>
  <c r="Q72" i="4" s="1"/>
  <c r="M72" i="4"/>
  <c r="N72" i="4" s="1"/>
  <c r="M80" i="4"/>
  <c r="N80" i="4" s="1"/>
  <c r="P80" i="4"/>
  <c r="Q80" i="4" s="1"/>
  <c r="P60" i="4"/>
  <c r="Q60" i="4" s="1"/>
  <c r="M60" i="4"/>
  <c r="N60" i="4" s="1"/>
  <c r="P69" i="4"/>
  <c r="Q69" i="4" s="1"/>
  <c r="M69" i="4"/>
  <c r="N69" i="4" s="1"/>
  <c r="M54" i="4"/>
  <c r="N54" i="4" s="1"/>
  <c r="P54" i="4"/>
  <c r="Q54" i="4" s="1"/>
  <c r="M49" i="4"/>
  <c r="R49" i="4" s="1"/>
  <c r="P49" i="4"/>
  <c r="Q49" i="4" s="1"/>
  <c r="M82" i="4"/>
  <c r="N82" i="4" s="1"/>
  <c r="O82" i="4" s="1"/>
  <c r="P82" i="4"/>
  <c r="Q82" i="4" s="1"/>
  <c r="P39" i="4"/>
  <c r="Q39" i="4" s="1"/>
  <c r="P9" i="4"/>
  <c r="Q9" i="4" s="1"/>
  <c r="P29" i="4"/>
  <c r="Q29" i="4" s="1"/>
  <c r="P21" i="4"/>
  <c r="Q21" i="4" s="1"/>
  <c r="P43" i="4"/>
  <c r="Q43" i="4" s="1"/>
  <c r="P10" i="4"/>
  <c r="Q10" i="4" s="1"/>
  <c r="P37" i="4"/>
  <c r="Q37" i="4" s="1"/>
  <c r="P23" i="4"/>
  <c r="Q23" i="4" s="1"/>
  <c r="P44" i="4"/>
  <c r="Q44" i="4" s="1"/>
  <c r="P45" i="4"/>
  <c r="Q45" i="4" s="1"/>
  <c r="P30" i="4"/>
  <c r="Q30" i="4" s="1"/>
  <c r="P38" i="4"/>
  <c r="Q38" i="4" s="1"/>
  <c r="P20" i="4"/>
  <c r="Q20" i="4" s="1"/>
  <c r="P17" i="4"/>
  <c r="Q17" i="4" s="1"/>
  <c r="P33" i="4"/>
  <c r="Q33" i="4" s="1"/>
  <c r="P6" i="4"/>
  <c r="Q6" i="4" s="1"/>
  <c r="P13" i="4"/>
  <c r="Q13" i="4" s="1"/>
  <c r="P36" i="4"/>
  <c r="Q36" i="4" s="1"/>
  <c r="P32" i="4"/>
  <c r="Q32" i="4" s="1"/>
  <c r="P18" i="4"/>
  <c r="Q18" i="4" s="1"/>
  <c r="P41" i="4"/>
  <c r="Q41" i="4" s="1"/>
  <c r="P31" i="4"/>
  <c r="Q31" i="4" s="1"/>
  <c r="P16" i="4"/>
  <c r="Q16" i="4" s="1"/>
  <c r="P25" i="4"/>
  <c r="Q25" i="4" s="1"/>
  <c r="P28" i="4"/>
  <c r="Q28" i="4" s="1"/>
  <c r="P40" i="4"/>
  <c r="Q40" i="4" s="1"/>
  <c r="P7" i="4"/>
  <c r="Q7" i="4" s="1"/>
  <c r="P14" i="4"/>
  <c r="Q14" i="4" s="1"/>
  <c r="P24" i="4"/>
  <c r="Q24" i="4" s="1"/>
  <c r="P19" i="4"/>
  <c r="Q19" i="4" s="1"/>
  <c r="P26" i="4"/>
  <c r="Q26" i="4" s="1"/>
  <c r="P42" i="4"/>
  <c r="Q42" i="4" s="1"/>
  <c r="P22" i="4"/>
  <c r="Q22" i="4" s="1"/>
  <c r="P11" i="4"/>
  <c r="Q11" i="4" s="1"/>
  <c r="P12" i="4"/>
  <c r="Q12" i="4" s="1"/>
  <c r="P8" i="4"/>
  <c r="Q8" i="4" s="1"/>
  <c r="P15" i="4"/>
  <c r="Q15" i="4" s="1"/>
  <c r="P27" i="4"/>
  <c r="Q27" i="4" s="1"/>
  <c r="P35" i="4"/>
  <c r="Q35" i="4" s="1"/>
  <c r="P34" i="4"/>
  <c r="Q34" i="4" s="1"/>
  <c r="O53" i="4"/>
  <c r="R53" i="4" s="1"/>
  <c r="M7" i="4"/>
  <c r="N7" i="4" s="1"/>
  <c r="O7" i="4" s="1"/>
  <c r="M27" i="4"/>
  <c r="M43" i="4"/>
  <c r="N43" i="4" s="1"/>
  <c r="M13" i="4"/>
  <c r="M36" i="4"/>
  <c r="N36" i="4" s="1"/>
  <c r="M32" i="4"/>
  <c r="N32" i="4" s="1"/>
  <c r="O32" i="4" s="1"/>
  <c r="M18" i="4"/>
  <c r="N18" i="4" s="1"/>
  <c r="O18" i="4" s="1"/>
  <c r="M41" i="4"/>
  <c r="N41" i="4" s="1"/>
  <c r="O41" i="4" s="1"/>
  <c r="M14" i="4"/>
  <c r="N14" i="4" s="1"/>
  <c r="O14" i="4" s="1"/>
  <c r="M24" i="4"/>
  <c r="N24" i="4" s="1"/>
  <c r="O24" i="4" s="1"/>
  <c r="M19" i="4"/>
  <c r="N19" i="4" s="1"/>
  <c r="M26" i="4"/>
  <c r="M42" i="4"/>
  <c r="N42" i="4" s="1"/>
  <c r="O42" i="4" s="1"/>
  <c r="M34" i="4"/>
  <c r="N34" i="4" s="1"/>
  <c r="O34" i="4" s="1"/>
  <c r="O74" i="4"/>
  <c r="R74" i="4" s="1"/>
  <c r="M21" i="4"/>
  <c r="N21" i="4" s="1"/>
  <c r="M44" i="4"/>
  <c r="N44" i="4" s="1"/>
  <c r="M22" i="4"/>
  <c r="N22" i="4" s="1"/>
  <c r="O22" i="4" s="1"/>
  <c r="M31" i="4"/>
  <c r="N31" i="4" s="1"/>
  <c r="O31" i="4" s="1"/>
  <c r="M45" i="4"/>
  <c r="R45" i="4" s="1"/>
  <c r="M35" i="4"/>
  <c r="M29" i="4"/>
  <c r="N29" i="4" s="1"/>
  <c r="M23" i="4"/>
  <c r="N23" i="4" s="1"/>
  <c r="O23" i="4" s="1"/>
  <c r="M16" i="4"/>
  <c r="N16" i="4" s="1"/>
  <c r="O16" i="4" s="1"/>
  <c r="M20" i="4"/>
  <c r="N20" i="4" s="1"/>
  <c r="M30" i="4"/>
  <c r="N30" i="4" s="1"/>
  <c r="O30" i="4" s="1"/>
  <c r="M25" i="4"/>
  <c r="N25" i="4" s="1"/>
  <c r="O25" i="4" s="1"/>
  <c r="M39" i="4"/>
  <c r="N39" i="4" s="1"/>
  <c r="O39" i="4" s="1"/>
  <c r="O75" i="4"/>
  <c r="M15" i="4"/>
  <c r="N15" i="4" s="1"/>
  <c r="O15" i="4" s="1"/>
  <c r="M37" i="4"/>
  <c r="N37" i="4" s="1"/>
  <c r="M17" i="4"/>
  <c r="N17" i="4" s="1"/>
  <c r="O17" i="4" s="1"/>
  <c r="M28" i="4"/>
  <c r="N28" i="4" s="1"/>
  <c r="M38" i="4"/>
  <c r="N38" i="4" s="1"/>
  <c r="O38" i="4" s="1"/>
  <c r="M33" i="4"/>
  <c r="N33" i="4" s="1"/>
  <c r="O33" i="4" s="1"/>
  <c r="M40" i="4"/>
  <c r="N40" i="4" s="1"/>
  <c r="O40" i="4" s="1"/>
  <c r="M11" i="4"/>
  <c r="M12" i="4"/>
  <c r="N12" i="4" s="1"/>
  <c r="M6" i="4"/>
  <c r="N6" i="4" s="1"/>
  <c r="M8" i="4"/>
  <c r="N8" i="4" s="1"/>
  <c r="O8" i="4" s="1"/>
  <c r="M9" i="4"/>
  <c r="N9" i="4" s="1"/>
  <c r="O9" i="4" s="1"/>
  <c r="M10" i="4"/>
  <c r="N96" i="2"/>
  <c r="Q96" i="2" s="1"/>
  <c r="O121" i="2"/>
  <c r="R121" i="2" s="1"/>
  <c r="N121" i="2"/>
  <c r="Q121" i="2" s="1"/>
  <c r="O96" i="2"/>
  <c r="R96" i="2" s="1"/>
  <c r="N124" i="2"/>
  <c r="Q124" i="2" s="1"/>
  <c r="O109" i="2"/>
  <c r="R109" i="2" s="1"/>
  <c r="O110" i="2"/>
  <c r="R110" i="2" s="1"/>
  <c r="N97" i="2"/>
  <c r="Q97" i="2" s="1"/>
  <c r="N109" i="2"/>
  <c r="Q109" i="2" s="1"/>
  <c r="O97" i="2"/>
  <c r="R97" i="2" s="1"/>
  <c r="O122" i="2"/>
  <c r="R122" i="2" s="1"/>
  <c r="N110" i="2"/>
  <c r="Q110" i="2" s="1"/>
  <c r="O111" i="2"/>
  <c r="R111" i="2" s="1"/>
  <c r="O123" i="2"/>
  <c r="R123" i="2" s="1"/>
  <c r="N111" i="2"/>
  <c r="Q111" i="2" s="1"/>
  <c r="N107" i="2"/>
  <c r="Q107" i="2" s="1"/>
  <c r="O99" i="2"/>
  <c r="R99" i="2" s="1"/>
  <c r="N123" i="2"/>
  <c r="Q123" i="2" s="1"/>
  <c r="O108" i="2"/>
  <c r="R108" i="2" s="1"/>
  <c r="N99" i="2"/>
  <c r="Q99" i="2" s="1"/>
  <c r="N98" i="2"/>
  <c r="Q98" i="2" s="1"/>
  <c r="O124" i="2"/>
  <c r="R124" i="2" s="1"/>
  <c r="N108" i="2"/>
  <c r="Q108" i="2" s="1"/>
  <c r="O98" i="2"/>
  <c r="R98" i="2" s="1"/>
  <c r="N122" i="2"/>
  <c r="Q122" i="2" s="1"/>
  <c r="O107" i="2"/>
  <c r="R107" i="2" s="1"/>
  <c r="O141" i="2"/>
  <c r="R141" i="2" s="1"/>
  <c r="O140" i="2"/>
  <c r="R140" i="2" s="1"/>
  <c r="O144" i="2"/>
  <c r="R144" i="2" s="1"/>
  <c r="N136" i="2"/>
  <c r="Q136" i="2" s="1"/>
  <c r="N140" i="2"/>
  <c r="Q140" i="2" s="1"/>
  <c r="N143" i="2"/>
  <c r="Q143" i="2" s="1"/>
  <c r="O132" i="2"/>
  <c r="R132" i="2" s="1"/>
  <c r="O126" i="2"/>
  <c r="R126" i="2" s="1"/>
  <c r="N125" i="2"/>
  <c r="Q125" i="2" s="1"/>
  <c r="N132" i="2"/>
  <c r="Q132" i="2" s="1"/>
  <c r="N139" i="2"/>
  <c r="Q139" i="2" s="1"/>
  <c r="O134" i="2"/>
  <c r="R134" i="2" s="1"/>
  <c r="N133" i="2"/>
  <c r="Q133" i="2" s="1"/>
  <c r="N135" i="2"/>
  <c r="Q135" i="2" s="1"/>
  <c r="N126" i="2"/>
  <c r="Q126" i="2" s="1"/>
  <c r="O138" i="2"/>
  <c r="R138" i="2" s="1"/>
  <c r="N137" i="2"/>
  <c r="Q137" i="2" s="1"/>
  <c r="O135" i="2"/>
  <c r="R135" i="2" s="1"/>
  <c r="N134" i="2"/>
  <c r="Q134" i="2" s="1"/>
  <c r="O142" i="2"/>
  <c r="R142" i="2" s="1"/>
  <c r="N141" i="2"/>
  <c r="Q141" i="2" s="1"/>
  <c r="O139" i="2"/>
  <c r="R139" i="2" s="1"/>
  <c r="N138" i="2"/>
  <c r="Q138" i="2" s="1"/>
  <c r="O133" i="2"/>
  <c r="R133" i="2" s="1"/>
  <c r="O143" i="2"/>
  <c r="R143" i="2" s="1"/>
  <c r="N142" i="2"/>
  <c r="Q142" i="2" s="1"/>
  <c r="O136" i="2"/>
  <c r="R136" i="2" s="1"/>
  <c r="O125" i="2"/>
  <c r="R125" i="2" s="1"/>
  <c r="O137" i="2"/>
  <c r="R137" i="2" s="1"/>
  <c r="O37" i="2"/>
  <c r="R36" i="2" s="1"/>
  <c r="N29" i="2"/>
  <c r="Q29" i="2" s="1"/>
  <c r="O65" i="2"/>
  <c r="R65" i="2" s="1"/>
  <c r="O53" i="2"/>
  <c r="R53" i="2" s="1"/>
  <c r="O40" i="2"/>
  <c r="R39" i="2" s="1"/>
  <c r="O24" i="2"/>
  <c r="R24" i="2" s="1"/>
  <c r="N74" i="2"/>
  <c r="Q74" i="2" s="1"/>
  <c r="N61" i="2"/>
  <c r="Q61" i="2" s="1"/>
  <c r="N40" i="2"/>
  <c r="Q39" i="2" s="1"/>
  <c r="N24" i="2"/>
  <c r="Q24" i="2" s="1"/>
  <c r="O29" i="2"/>
  <c r="R29" i="2" s="1"/>
  <c r="N41" i="2"/>
  <c r="Q40" i="2" s="1"/>
  <c r="N33" i="2"/>
  <c r="Q32" i="2" s="1"/>
  <c r="N25" i="2"/>
  <c r="Q25" i="2" s="1"/>
  <c r="O86" i="2"/>
  <c r="R86" i="2" s="1"/>
  <c r="O57" i="2"/>
  <c r="R57" i="2" s="1"/>
  <c r="O36" i="2"/>
  <c r="R35" i="2" s="1"/>
  <c r="N53" i="2"/>
  <c r="Q53" i="2" s="1"/>
  <c r="N32" i="2"/>
  <c r="Q31" i="2" s="1"/>
  <c r="O33" i="2"/>
  <c r="R32" i="2" s="1"/>
  <c r="N37" i="2"/>
  <c r="Q36" i="2" s="1"/>
  <c r="O74" i="2"/>
  <c r="R74" i="2" s="1"/>
  <c r="O61" i="2"/>
  <c r="R61" i="2" s="1"/>
  <c r="O32" i="2"/>
  <c r="R31" i="2" s="1"/>
  <c r="N65" i="2"/>
  <c r="Q65" i="2" s="1"/>
  <c r="N57" i="2"/>
  <c r="Q57" i="2" s="1"/>
  <c r="N36" i="2"/>
  <c r="Q35" i="2" s="1"/>
  <c r="N86" i="2"/>
  <c r="Q86" i="2" s="1"/>
  <c r="O41" i="2"/>
  <c r="R40" i="2" s="1"/>
  <c r="O25" i="2"/>
  <c r="R25" i="2" s="1"/>
  <c r="O82" i="2"/>
  <c r="R82" i="2" s="1"/>
  <c r="O49" i="2"/>
  <c r="R49" i="2" s="1"/>
  <c r="O28" i="2"/>
  <c r="R28" i="2" s="1"/>
  <c r="N82" i="2"/>
  <c r="Q82" i="2" s="1"/>
  <c r="N49" i="2"/>
  <c r="Q49" i="2" s="1"/>
  <c r="N28" i="2"/>
  <c r="Q28" i="2" s="1"/>
  <c r="N56" i="2"/>
  <c r="Q56" i="2" s="1"/>
  <c r="O55" i="2"/>
  <c r="R55" i="2" s="1"/>
  <c r="O60" i="2"/>
  <c r="R60" i="2" s="1"/>
  <c r="N43" i="2"/>
  <c r="N64" i="2"/>
  <c r="Q64" i="2" s="1"/>
  <c r="O35" i="2"/>
  <c r="R34" i="2" s="1"/>
  <c r="O71" i="2"/>
  <c r="R71" i="2" s="1"/>
  <c r="N26" i="2"/>
  <c r="Q26" i="2" s="1"/>
  <c r="N51" i="2"/>
  <c r="Q51" i="2" s="1"/>
  <c r="O68" i="2"/>
  <c r="R68" i="2" s="1"/>
  <c r="N58" i="2"/>
  <c r="Q58" i="2" s="1"/>
  <c r="O50" i="2"/>
  <c r="R50" i="2" s="1"/>
  <c r="N63" i="2"/>
  <c r="Q63" i="2" s="1"/>
  <c r="O84" i="2"/>
  <c r="R84" i="2" s="1"/>
  <c r="N62" i="2"/>
  <c r="Q62" i="2" s="1"/>
  <c r="N68" i="2"/>
  <c r="Q68" i="2" s="1"/>
  <c r="O72" i="2"/>
  <c r="R72" i="2" s="1"/>
  <c r="N66" i="2"/>
  <c r="Q66" i="2" s="1"/>
  <c r="O48" i="2"/>
  <c r="R48" i="2" s="1"/>
  <c r="N52" i="2"/>
  <c r="Q52" i="2" s="1"/>
  <c r="O27" i="2"/>
  <c r="R27" i="2" s="1"/>
  <c r="N72" i="2"/>
  <c r="O51" i="2"/>
  <c r="R51" i="2" s="1"/>
  <c r="N83" i="2"/>
  <c r="Q83" i="2" s="1"/>
  <c r="O85" i="2"/>
  <c r="R85" i="2" s="1"/>
  <c r="N85" i="2"/>
  <c r="Q85" i="2" s="1"/>
  <c r="O59" i="2"/>
  <c r="R59" i="2" s="1"/>
  <c r="N30" i="2"/>
  <c r="Q30" i="2" s="1"/>
  <c r="N50" i="2"/>
  <c r="Q50" i="2" s="1"/>
  <c r="O56" i="2"/>
  <c r="R56" i="2" s="1"/>
  <c r="O39" i="2"/>
  <c r="R38" i="2" s="1"/>
  <c r="O83" i="2"/>
  <c r="R83" i="2" s="1"/>
  <c r="N38" i="2"/>
  <c r="Q37" i="2" s="1"/>
  <c r="N55" i="2"/>
  <c r="Q55" i="2" s="1"/>
  <c r="N59" i="2"/>
  <c r="Q59" i="2" s="1"/>
  <c r="O67" i="2"/>
  <c r="R67" i="2" s="1"/>
  <c r="N34" i="2"/>
  <c r="Q33" i="2" s="1"/>
  <c r="O30" i="2"/>
  <c r="R30" i="2" s="1"/>
  <c r="N42" i="2"/>
  <c r="Q41" i="2" s="1"/>
  <c r="N27" i="2"/>
  <c r="Q27" i="2" s="1"/>
  <c r="O54" i="2"/>
  <c r="R54" i="2" s="1"/>
  <c r="O42" i="2"/>
  <c r="R41" i="2" s="1"/>
  <c r="N60" i="2"/>
  <c r="Q60" i="2" s="1"/>
  <c r="O58" i="2"/>
  <c r="R58" i="2" s="1"/>
  <c r="O23" i="2"/>
  <c r="R23" i="2" s="1"/>
  <c r="O47" i="2"/>
  <c r="R47" i="2" s="1"/>
  <c r="N71" i="2"/>
  <c r="Q71" i="2" s="1"/>
  <c r="O64" i="2"/>
  <c r="R64" i="2" s="1"/>
  <c r="O73" i="2"/>
  <c r="R73" i="2" s="1"/>
  <c r="O66" i="2"/>
  <c r="R66" i="2" s="1"/>
  <c r="O52" i="2"/>
  <c r="R52" i="2" s="1"/>
  <c r="O63" i="2"/>
  <c r="R63" i="2" s="1"/>
  <c r="O34" i="2"/>
  <c r="R33" i="2" s="1"/>
  <c r="N54" i="2"/>
  <c r="Q54" i="2" s="1"/>
  <c r="N22" i="2"/>
  <c r="Q22" i="2" s="1"/>
  <c r="O43" i="2"/>
  <c r="N73" i="2"/>
  <c r="Q73" i="2" s="1"/>
  <c r="O22" i="2"/>
  <c r="R22" i="2" s="1"/>
  <c r="N23" i="2"/>
  <c r="Q23" i="2" s="1"/>
  <c r="N48" i="2"/>
  <c r="Q48" i="2" s="1"/>
  <c r="O26" i="2"/>
  <c r="R26" i="2" s="1"/>
  <c r="N67" i="2"/>
  <c r="Q67" i="2" s="1"/>
  <c r="N31" i="2"/>
  <c r="O38" i="2"/>
  <c r="R37" i="2" s="1"/>
  <c r="N84" i="2"/>
  <c r="Q84" i="2" s="1"/>
  <c r="N35" i="2"/>
  <c r="Q34" i="2" s="1"/>
  <c r="O62" i="2"/>
  <c r="R62" i="2" s="1"/>
  <c r="N39" i="2"/>
  <c r="Q38" i="2" s="1"/>
  <c r="O31" i="2"/>
  <c r="N47" i="2"/>
  <c r="Q47" i="2" s="1"/>
  <c r="N115" i="2"/>
  <c r="Q115" i="2" s="1"/>
  <c r="O102" i="2"/>
  <c r="R102" i="2" s="1"/>
  <c r="O105" i="2"/>
  <c r="R105" i="2" s="1"/>
  <c r="O117" i="2"/>
  <c r="R117" i="2" s="1"/>
  <c r="O106" i="2"/>
  <c r="R106" i="2" s="1"/>
  <c r="O116" i="2"/>
  <c r="R116" i="2" s="1"/>
  <c r="O114" i="2"/>
  <c r="R114" i="2" s="1"/>
  <c r="N114" i="2"/>
  <c r="Q114" i="2" s="1"/>
  <c r="N102" i="2"/>
  <c r="Q102" i="2" s="1"/>
  <c r="O118" i="2"/>
  <c r="R118" i="2" s="1"/>
  <c r="O113" i="2"/>
  <c r="R113" i="2" s="1"/>
  <c r="N116" i="2"/>
  <c r="Q116" i="2" s="1"/>
  <c r="N118" i="2"/>
  <c r="Q118" i="2" s="1"/>
  <c r="O119" i="2"/>
  <c r="R119" i="2" s="1"/>
  <c r="O115" i="2"/>
  <c r="R115" i="2" s="1"/>
  <c r="N106" i="2"/>
  <c r="Q106" i="2" s="1"/>
  <c r="N117" i="2"/>
  <c r="Q117" i="2" s="1"/>
  <c r="N105" i="2"/>
  <c r="Q105" i="2" s="1"/>
  <c r="O101" i="2"/>
  <c r="R101" i="2" s="1"/>
  <c r="O94" i="2"/>
  <c r="R94" i="2" s="1"/>
  <c r="O44" i="2"/>
  <c r="O69" i="2"/>
  <c r="Q46" i="2"/>
  <c r="R46" i="2"/>
  <c r="R21" i="2"/>
  <c r="Q16" i="2"/>
  <c r="R80" i="2"/>
  <c r="Q76" i="2"/>
  <c r="R76" i="2"/>
  <c r="Q78" i="2"/>
  <c r="Q79" i="2"/>
  <c r="Q72" i="2"/>
  <c r="Q80" i="2"/>
  <c r="R77" i="2"/>
  <c r="Q75" i="2"/>
  <c r="R75" i="2"/>
  <c r="R78" i="2"/>
  <c r="Q77" i="2"/>
  <c r="R79" i="2"/>
  <c r="F5" i="1"/>
  <c r="O65" i="4" l="1"/>
  <c r="O70" i="4"/>
  <c r="R70" i="4" s="1"/>
  <c r="Q2" i="4"/>
  <c r="N27" i="4"/>
  <c r="O27" i="4" s="1"/>
  <c r="R27" i="4" s="1"/>
  <c r="O57" i="4"/>
  <c r="R57" i="4" s="1"/>
  <c r="N45" i="4"/>
  <c r="O45" i="4" s="1"/>
  <c r="N26" i="4"/>
  <c r="O26" i="4" s="1"/>
  <c r="R26" i="4" s="1"/>
  <c r="N49" i="4"/>
  <c r="O71" i="4"/>
  <c r="R71" i="4" s="1"/>
  <c r="O66" i="4"/>
  <c r="R66" i="4" s="1"/>
  <c r="O60" i="4"/>
  <c r="R65" i="4"/>
  <c r="O48" i="4"/>
  <c r="R48" i="4" s="1"/>
  <c r="O59" i="4"/>
  <c r="R59" i="4" s="1"/>
  <c r="O62" i="4"/>
  <c r="R62" i="4" s="1"/>
  <c r="O81" i="4"/>
  <c r="R81" i="4" s="1"/>
  <c r="O55" i="4"/>
  <c r="R55" i="4" s="1"/>
  <c r="O52" i="4"/>
  <c r="R52" i="4" s="1"/>
  <c r="O79" i="4"/>
  <c r="R79" i="4" s="1"/>
  <c r="O58" i="4"/>
  <c r="R58" i="4" s="1"/>
  <c r="O68" i="4"/>
  <c r="R68" i="4" s="1"/>
  <c r="O80" i="4"/>
  <c r="R80" i="4" s="1"/>
  <c r="O77" i="4"/>
  <c r="R77" i="4" s="1"/>
  <c r="O78" i="4"/>
  <c r="R78" i="4" s="1"/>
  <c r="O50" i="4"/>
  <c r="R50" i="4" s="1"/>
  <c r="O49" i="4"/>
  <c r="O67" i="4"/>
  <c r="R67" i="4" s="1"/>
  <c r="O47" i="4"/>
  <c r="R47" i="4" s="1"/>
  <c r="R60" i="4"/>
  <c r="O56" i="4"/>
  <c r="R56" i="4" s="1"/>
  <c r="O64" i="4"/>
  <c r="R64" i="4" s="1"/>
  <c r="R82" i="4"/>
  <c r="O69" i="4"/>
  <c r="R69" i="4" s="1"/>
  <c r="O73" i="4"/>
  <c r="R73" i="4" s="1"/>
  <c r="O54" i="4"/>
  <c r="R54" i="4" s="1"/>
  <c r="O63" i="4"/>
  <c r="R63" i="4" s="1"/>
  <c r="O51" i="4"/>
  <c r="R51" i="4" s="1"/>
  <c r="O46" i="4"/>
  <c r="R46" i="4" s="1"/>
  <c r="R75" i="4"/>
  <c r="O76" i="4"/>
  <c r="R76" i="4" s="1"/>
  <c r="O72" i="4"/>
  <c r="R72" i="4" s="1"/>
  <c r="R9" i="4"/>
  <c r="N10" i="4"/>
  <c r="O10" i="4" s="1"/>
  <c r="R10" i="4" s="1"/>
  <c r="O28" i="4"/>
  <c r="R28" i="4" s="1"/>
  <c r="O43" i="4"/>
  <c r="R43" i="4" s="1"/>
  <c r="O19" i="4"/>
  <c r="R19" i="4" s="1"/>
  <c r="O21" i="4"/>
  <c r="R21" i="4" s="1"/>
  <c r="O6" i="4"/>
  <c r="O29" i="4"/>
  <c r="R29" i="4" s="1"/>
  <c r="O36" i="4"/>
  <c r="R36" i="4" s="1"/>
  <c r="O44" i="4"/>
  <c r="R44" i="4" s="1"/>
  <c r="N11" i="4"/>
  <c r="O11" i="4" s="1"/>
  <c r="R11" i="4" s="1"/>
  <c r="O12" i="4"/>
  <c r="R12" i="4" s="1"/>
  <c r="O37" i="4"/>
  <c r="R37" i="4" s="1"/>
  <c r="O20" i="4"/>
  <c r="R20" i="4" s="1"/>
  <c r="N35" i="4"/>
  <c r="O35" i="4" s="1"/>
  <c r="R35" i="4" s="1"/>
  <c r="N13" i="4"/>
  <c r="O13" i="4" s="1"/>
  <c r="R13" i="4" s="1"/>
  <c r="R8" i="4"/>
  <c r="R22" i="4"/>
  <c r="R40" i="4"/>
  <c r="R33" i="4"/>
  <c r="R18" i="4"/>
  <c r="R39" i="4"/>
  <c r="R41" i="4"/>
  <c r="R42" i="4"/>
  <c r="R30" i="4"/>
  <c r="R23" i="4"/>
  <c r="R24" i="4"/>
  <c r="R31" i="4"/>
  <c r="R25" i="4"/>
  <c r="R38" i="4"/>
  <c r="R34" i="4"/>
  <c r="R32" i="4"/>
  <c r="R14" i="4"/>
  <c r="R15" i="4"/>
  <c r="R16" i="4"/>
  <c r="R17" i="4"/>
  <c r="R7" i="4"/>
  <c r="R6" i="4" l="1"/>
  <c r="R2" i="4" s="1"/>
  <c r="U14" i="2" s="1"/>
  <c r="O2" i="4"/>
  <c r="U15" i="2" l="1"/>
  <c r="H4" i="1" s="1"/>
  <c r="G5" i="1" s="1"/>
  <c r="B34" i="5"/>
  <c r="B56" i="1"/>
  <c r="U19" i="2" l="1"/>
  <c r="X14" i="2"/>
  <c r="U20" i="2" s="1"/>
  <c r="U17" i="2"/>
  <c r="F4" i="1"/>
  <c r="A10" i="4" l="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Jasper Healthx</author>
  </authors>
  <commentList>
    <comment ref="U24" authorId="0" shapeId="0" xr:uid="{3410EBA7-8421-B04F-8592-6072F30279B4}">
      <text>
        <r>
          <rPr>
            <b/>
            <sz val="10"/>
            <color rgb="FF000000"/>
            <rFont val="Tahoma"/>
            <family val="2"/>
          </rPr>
          <t>Jasper Healthx:</t>
        </r>
        <r>
          <rPr>
            <sz val="10"/>
            <color rgb="FF000000"/>
            <rFont val="Tahoma"/>
            <family val="2"/>
          </rPr>
          <t xml:space="preserve">
</t>
        </r>
        <r>
          <rPr>
            <sz val="10"/>
            <color rgb="FF000000"/>
            <rFont val="Tahoma"/>
            <family val="2"/>
          </rPr>
          <t>RGA approval is 3,316.50. Supposed to be 4,363 is the gross loading but I put it as net.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<sst xmlns="http://schemas.openxmlformats.org/spreadsheetml/2006/main" count="1909" uniqueCount="906">
  <si>
    <t>Policyholder:</t>
  </si>
  <si>
    <t>MGH LOGISTICS L.L.C</t>
  </si>
  <si>
    <t>Start Date:</t>
  </si>
  <si>
    <t>Broker Name:</t>
  </si>
  <si>
    <t>Savington International Insurance Brokers LLC</t>
  </si>
  <si>
    <t>PREMIUM OVERVIEW</t>
  </si>
  <si>
    <t xml:space="preserve">TOTAL PREMIUM </t>
  </si>
  <si>
    <t>BASMAH FEE (AED 37 / member)</t>
  </si>
  <si>
    <t>SLASH DATA FEE (AED 25 / member)</t>
  </si>
  <si>
    <t>0 Rest of UAE members</t>
  </si>
  <si>
    <t>ADDITIONAL LOADING</t>
  </si>
  <si>
    <t>Additional loading for pre-existing conditions</t>
  </si>
  <si>
    <t>VALUE ADDED TAX (VAT)</t>
  </si>
  <si>
    <t>Category A</t>
  </si>
  <si>
    <t>PRINCIPAL</t>
  </si>
  <si>
    <t>DEPENDENTS</t>
  </si>
  <si>
    <t>Cat A</t>
  </si>
  <si>
    <t>Age Range</t>
  </si>
  <si>
    <t>Premium</t>
  </si>
  <si>
    <t>Male</t>
  </si>
  <si>
    <t>Female</t>
  </si>
  <si>
    <t>Principal</t>
  </si>
  <si>
    <t>Dependents</t>
  </si>
  <si>
    <t>0 - 10</t>
  </si>
  <si>
    <t>0-10</t>
  </si>
  <si>
    <t>11 - 17</t>
  </si>
  <si>
    <t>11-17</t>
  </si>
  <si>
    <t>18 - 25</t>
  </si>
  <si>
    <t>18-25</t>
  </si>
  <si>
    <t>26 - 30</t>
  </si>
  <si>
    <t>26-30</t>
  </si>
  <si>
    <t>31 - 35</t>
  </si>
  <si>
    <t>31-35</t>
  </si>
  <si>
    <t>36 - 40</t>
  </si>
  <si>
    <t>36-40</t>
  </si>
  <si>
    <t>41 - 45</t>
  </si>
  <si>
    <t>41-45</t>
  </si>
  <si>
    <t>46 - 50</t>
  </si>
  <si>
    <t>46-50</t>
  </si>
  <si>
    <t>51 - 55</t>
  </si>
  <si>
    <t>51-55</t>
  </si>
  <si>
    <t>56 - 59</t>
  </si>
  <si>
    <t>56-59</t>
  </si>
  <si>
    <t>60 - 64</t>
  </si>
  <si>
    <t>60-64</t>
  </si>
  <si>
    <t>65 - 99</t>
  </si>
  <si>
    <t>65-99</t>
  </si>
  <si>
    <t>Subtotals</t>
  </si>
  <si>
    <t xml:space="preserve">For members 65 years old &amp; above, the premium quoted is INDICATIVE only and subject to completion of the Medical Application Form (MAF), Medical Examination Report (MER). Further blood tests, and ECG are required for 70+ years old members. </t>
  </si>
  <si>
    <t>Maternity Premium (18-45)</t>
  </si>
  <si>
    <t xml:space="preserve">Category Premium </t>
  </si>
  <si>
    <t>Census</t>
  </si>
  <si>
    <t>Category Members</t>
  </si>
  <si>
    <t>Average</t>
  </si>
  <si>
    <t>Category B</t>
  </si>
  <si>
    <t>Cat B</t>
  </si>
  <si>
    <t>Category C</t>
  </si>
  <si>
    <t>Cat C</t>
  </si>
  <si>
    <t>Category D</t>
  </si>
  <si>
    <t>Cat D</t>
  </si>
  <si>
    <t>Company Name</t>
  </si>
  <si>
    <t>Categories</t>
  </si>
  <si>
    <t>Subgroups</t>
  </si>
  <si>
    <t>Start Date</t>
  </si>
  <si>
    <t>Confirmed Premium</t>
  </si>
  <si>
    <t>Members</t>
  </si>
  <si>
    <t>Broker/Contact Person</t>
  </si>
  <si>
    <t>Confirmed Quotation No.</t>
  </si>
  <si>
    <t>Commission</t>
  </si>
  <si>
    <t>Final Premium (if not same as confirmed census)</t>
  </si>
  <si>
    <t>Current insurer</t>
  </si>
  <si>
    <t>Over 64</t>
  </si>
  <si>
    <t>Emirate</t>
  </si>
  <si>
    <t>Dubai</t>
  </si>
  <si>
    <t>LSB (Low-salary band) members</t>
  </si>
  <si>
    <t>No</t>
  </si>
  <si>
    <t>Underwriter</t>
  </si>
  <si>
    <t>Mabel</t>
  </si>
  <si>
    <t>Dubai members</t>
  </si>
  <si>
    <t>Type</t>
  </si>
  <si>
    <t>New Business</t>
  </si>
  <si>
    <t>Abu Dhabi members</t>
  </si>
  <si>
    <t>Inception premium payment</t>
  </si>
  <si>
    <t>Annual</t>
  </si>
  <si>
    <t>Northern Emirates members</t>
  </si>
  <si>
    <t>Endorsement Frequency</t>
  </si>
  <si>
    <t>Monthly</t>
  </si>
  <si>
    <t>Outside UAE members</t>
  </si>
  <si>
    <t>Documents required</t>
  </si>
  <si>
    <t>Status</t>
  </si>
  <si>
    <t>Date Received</t>
  </si>
  <si>
    <t>Comments</t>
  </si>
  <si>
    <t>Census List</t>
  </si>
  <si>
    <t>Medical Application Form</t>
  </si>
  <si>
    <t>Declaration Form</t>
  </si>
  <si>
    <t>Clean declaration</t>
  </si>
  <si>
    <t>Photographs (.jpg format, Filename - member name)</t>
  </si>
  <si>
    <t>Continuity Certificate from Previous Insurer</t>
  </si>
  <si>
    <t>eKYC Form</t>
  </si>
  <si>
    <t>Bank Account details with IBAN of the Group/ Sub-groups</t>
  </si>
  <si>
    <t>Signed and Stamped TOB</t>
  </si>
  <si>
    <t>Ministry of Labour List</t>
  </si>
  <si>
    <t>Trade License copy</t>
  </si>
  <si>
    <t>Vat Registration Number and Certificates</t>
  </si>
  <si>
    <t>Establishment ID copy</t>
  </si>
  <si>
    <t>Name/s and Address/es to be mentioned in the Tax Invoice</t>
  </si>
  <si>
    <t>Salary Declaration Form (for LSB members)</t>
  </si>
  <si>
    <t>Other supporting document</t>
  </si>
  <si>
    <t>Internal documents</t>
  </si>
  <si>
    <t>Premium summary</t>
  </si>
  <si>
    <t xml:space="preserve">Waiting for confirmation from RGA and manual AUH rates. </t>
  </si>
  <si>
    <t>TOB with exclusions</t>
  </si>
  <si>
    <t>RGA assessment</t>
  </si>
  <si>
    <t>N/A</t>
  </si>
  <si>
    <t>Confirmation steps</t>
  </si>
  <si>
    <t>Date Sent</t>
  </si>
  <si>
    <t>Documents to attach</t>
  </si>
  <si>
    <t>Documents sent to NAS</t>
  </si>
  <si>
    <t>TOB with exclusions, Premium Summary, Tool</t>
  </si>
  <si>
    <t>Documents sent to QIC</t>
  </si>
  <si>
    <t>Documents sent to RGA</t>
  </si>
  <si>
    <t>Tool, Signed Quote, Census</t>
  </si>
  <si>
    <t>Policy activation</t>
  </si>
  <si>
    <t>E-cards issuance</t>
  </si>
  <si>
    <t>Policy documents issuance</t>
  </si>
  <si>
    <t>Subject:</t>
  </si>
  <si>
    <t>Hi Amrit/Shubham, </t>
  </si>
  <si>
    <t>Please find attached confirmed quote, GDF (clean), census, and RGA tool for your kind checking and confirmation:</t>
  </si>
  <si>
    <t>Policy Name:</t>
  </si>
  <si>
    <t>Policy start date:</t>
  </si>
  <si>
    <t>Payment Terms:</t>
  </si>
  <si>
    <t>Confirmed Premium:</t>
  </si>
  <si>
    <t>Confirmed Census:</t>
  </si>
  <si>
    <t xml:space="preserve"> Final Premium:</t>
  </si>
  <si>
    <t>Final Census:</t>
  </si>
  <si>
    <t>Broker commission:</t>
  </si>
  <si>
    <t>Healthx:</t>
  </si>
  <si>
    <t>TPA Fees:</t>
  </si>
  <si>
    <t>QIC Admin Fee:</t>
  </si>
  <si>
    <t>Total loading:</t>
  </si>
  <si>
    <t>Comments:</t>
  </si>
  <si>
    <t>Confirmed premium and final premium are matching.</t>
  </si>
  <si>
    <t xml:space="preserve">Appreciate your usual support. </t>
  </si>
  <si>
    <t>Email documents to QIC</t>
  </si>
  <si>
    <t xml:space="preserve">Subject: </t>
  </si>
  <si>
    <t>Dear Minhas, </t>
  </si>
  <si>
    <t>- eKYC form - QIC to send the link to the client?</t>
  </si>
  <si>
    <t>- TOBs with exclusions</t>
  </si>
  <si>
    <t>- RGA pricing tool</t>
  </si>
  <si>
    <t>Policy Name</t>
  </si>
  <si>
    <t>Policy start date</t>
  </si>
  <si>
    <t>Broker Name</t>
  </si>
  <si>
    <t>Payment Terms</t>
  </si>
  <si>
    <t>Confirmed quote</t>
  </si>
  <si>
    <t>Premium as per final census</t>
  </si>
  <si>
    <t xml:space="preserve">Please advise if you require anything further. </t>
  </si>
  <si>
    <t>Email documents to NAS</t>
  </si>
  <si>
    <t xml:space="preserve">To: </t>
  </si>
  <si>
    <t>Healthxendorsments@nas.ae</t>
  </si>
  <si>
    <t>Cheri.Jijo@nas.ae</t>
  </si>
  <si>
    <t>Cc: QIC team</t>
  </si>
  <si>
    <t>Dear NAS team, </t>
  </si>
  <si>
    <t>Healthx is pleased to share the onboarding documents for policy activation.</t>
  </si>
  <si>
    <r>
      <t>1.</t>
    </r>
    <r>
      <rPr>
        <sz val="7"/>
        <color rgb="FF000000"/>
        <rFont val="Times New Roman"/>
        <family val="1"/>
      </rPr>
      <t xml:space="preserve">     </t>
    </r>
    <r>
      <rPr>
        <sz val="11"/>
        <color rgb="FF212121"/>
        <rFont val="Calibri"/>
        <family val="2"/>
        <scheme val="minor"/>
      </rPr>
      <t>Table of Benefits with Exclusions</t>
    </r>
  </si>
  <si>
    <r>
      <t>2.</t>
    </r>
    <r>
      <rPr>
        <sz val="7"/>
        <color rgb="FF000000"/>
        <rFont val="Times New Roman"/>
        <family val="1"/>
      </rPr>
      <t xml:space="preserve">     </t>
    </r>
    <r>
      <rPr>
        <sz val="11"/>
        <color rgb="FF212121"/>
        <rFont val="Calibri"/>
        <family val="2"/>
        <scheme val="minor"/>
      </rPr>
      <t>Premium summary</t>
    </r>
  </si>
  <si>
    <r>
      <t>3.</t>
    </r>
    <r>
      <rPr>
        <sz val="7"/>
        <color rgb="FF000000"/>
        <rFont val="Times New Roman"/>
        <family val="1"/>
      </rPr>
      <t xml:space="preserve">     </t>
    </r>
    <r>
      <rPr>
        <sz val="11"/>
        <color rgb="FF212121"/>
        <rFont val="Calibri"/>
        <family val="2"/>
        <scheme val="minor"/>
      </rPr>
      <t>Employee census list</t>
    </r>
  </si>
  <si>
    <r>
      <t>4.</t>
    </r>
    <r>
      <rPr>
        <sz val="7"/>
        <color rgb="FF000000"/>
        <rFont val="Times New Roman"/>
        <family val="1"/>
      </rPr>
      <t xml:space="preserve">     </t>
    </r>
    <r>
      <rPr>
        <sz val="11"/>
        <color rgb="FF212121"/>
        <rFont val="Calibri"/>
        <family val="2"/>
        <scheme val="minor"/>
      </rPr>
      <t>Group declaration / MAF  (if available)</t>
    </r>
  </si>
  <si>
    <t>Policy Holder</t>
  </si>
  <si>
    <t>  </t>
  </si>
  <si>
    <t>Looking forward to receiving the e-cards.</t>
  </si>
  <si>
    <t>Product</t>
  </si>
  <si>
    <t>QIC Dubai Branch - Healthx</t>
  </si>
  <si>
    <t>FLAT FIXED FEES</t>
  </si>
  <si>
    <t>DHA Basmah Fee</t>
  </si>
  <si>
    <t>Paid by client</t>
  </si>
  <si>
    <t>DHA HCV Fee</t>
  </si>
  <si>
    <t>Policy Start Date</t>
  </si>
  <si>
    <t>TruDoc Fee</t>
  </si>
  <si>
    <t>Paid by Healthx</t>
  </si>
  <si>
    <t>Policy End Date</t>
  </si>
  <si>
    <t>Slash Data Fee</t>
  </si>
  <si>
    <t>Policy Type</t>
  </si>
  <si>
    <t>FEES IN %</t>
  </si>
  <si>
    <t>HSB</t>
  </si>
  <si>
    <t>LSB</t>
  </si>
  <si>
    <t>Broker</t>
  </si>
  <si>
    <t>Confirmed Quote</t>
  </si>
  <si>
    <t>Per Capita</t>
  </si>
  <si>
    <t>NAS (TPA)</t>
  </si>
  <si>
    <t>Mabel Orleans</t>
  </si>
  <si>
    <t>QIC (Insurer)</t>
  </si>
  <si>
    <t>Validated by</t>
  </si>
  <si>
    <t>HealthX (Admin)</t>
  </si>
  <si>
    <t>Final Premium</t>
  </si>
  <si>
    <t>Insurance Levy</t>
  </si>
  <si>
    <t>TOTAL FEES</t>
  </si>
  <si>
    <t>Premium Variance</t>
  </si>
  <si>
    <t>Category</t>
  </si>
  <si>
    <t>Age Band</t>
  </si>
  <si>
    <t>GROSS PREMIUM (MALE)</t>
  </si>
  <si>
    <t>GROSS PREMIUM (FEMALE)</t>
  </si>
  <si>
    <t>NET PREMIUM (MALE)</t>
  </si>
  <si>
    <t>NET PREMIUM (FEMALE)</t>
  </si>
  <si>
    <t>Members Variance</t>
  </si>
  <si>
    <t>If more than -10%, either revised quote or seek approval from RGA</t>
  </si>
  <si>
    <t>Net Rates Check</t>
  </si>
  <si>
    <t>Per Capita Variance</t>
  </si>
  <si>
    <t>Cat A (EMP)</t>
  </si>
  <si>
    <t>Additional Loading</t>
  </si>
  <si>
    <t>Net Loading</t>
  </si>
  <si>
    <t>Gross Loading</t>
  </si>
  <si>
    <t>Member</t>
  </si>
  <si>
    <t>DOB</t>
  </si>
  <si>
    <t>Gender</t>
  </si>
  <si>
    <t>Relation</t>
  </si>
  <si>
    <t>Declaration</t>
  </si>
  <si>
    <t>Cat A (DEP)</t>
  </si>
  <si>
    <t>Cat A (EMPDEPMAT)</t>
  </si>
  <si>
    <t>additional maternity premium</t>
  </si>
  <si>
    <t>Cat B (EMP)</t>
  </si>
  <si>
    <t>Cat B (DEP)</t>
  </si>
  <si>
    <t>Cat B (EMPDEPMAT)</t>
  </si>
  <si>
    <t>Cat C (EMP)</t>
  </si>
  <si>
    <t>Cat C (DEP)</t>
  </si>
  <si>
    <t>Cat C (EMPMAT)</t>
  </si>
  <si>
    <t>Cat D (EMP)</t>
  </si>
  <si>
    <t>Cat D (DEP)</t>
  </si>
  <si>
    <t>Cat D (EMPMAT)</t>
  </si>
  <si>
    <t>Category E</t>
  </si>
  <si>
    <t>Cat E (EMP)</t>
  </si>
  <si>
    <t>Cat E (DEP)</t>
  </si>
  <si>
    <t>Cat E (EMPMAT)</t>
  </si>
  <si>
    <t>Maternity Premium</t>
  </si>
  <si>
    <t>Total Premium</t>
  </si>
  <si>
    <t>Additional Maternity Premium</t>
  </si>
  <si>
    <t>A</t>
  </si>
  <si>
    <t>B</t>
  </si>
  <si>
    <t>C</t>
  </si>
  <si>
    <t>D</t>
  </si>
  <si>
    <t>E</t>
  </si>
  <si>
    <t>Total Census</t>
  </si>
  <si>
    <t>Category F</t>
  </si>
  <si>
    <t>Category G</t>
  </si>
  <si>
    <t>Category H</t>
  </si>
  <si>
    <t xml:space="preserve">No. </t>
  </si>
  <si>
    <t>Name</t>
  </si>
  <si>
    <t>Date of birth</t>
  </si>
  <si>
    <t>Relationship</t>
  </si>
  <si>
    <t>Marital Status</t>
  </si>
  <si>
    <t>Plan</t>
  </si>
  <si>
    <t>Salary</t>
  </si>
  <si>
    <t>Column Code</t>
  </si>
  <si>
    <t>Column No.</t>
  </si>
  <si>
    <t>Age (ALB)</t>
  </si>
  <si>
    <t>Age Bracket</t>
  </si>
  <si>
    <t>Age Bracket Code</t>
  </si>
  <si>
    <t>Maternity Age Limit</t>
  </si>
  <si>
    <t>Dubai Age Bracket</t>
  </si>
  <si>
    <t>AUH Age Bracket</t>
  </si>
  <si>
    <t>M (Principal)</t>
  </si>
  <si>
    <t>F (Principal)</t>
  </si>
  <si>
    <t>M (Dependent)</t>
  </si>
  <si>
    <t>F (Dependent)</t>
  </si>
  <si>
    <t>Vitty Yohannan Thomas</t>
  </si>
  <si>
    <t>MALE</t>
  </si>
  <si>
    <t>Employee</t>
  </si>
  <si>
    <t>Married</t>
  </si>
  <si>
    <t>DXB</t>
  </si>
  <si>
    <t>0 - 17</t>
  </si>
  <si>
    <t>NA</t>
  </si>
  <si>
    <t>Alice Raju</t>
  </si>
  <si>
    <t>FEMALE</t>
  </si>
  <si>
    <t>Spouse</t>
  </si>
  <si>
    <t>18 - 40</t>
  </si>
  <si>
    <t>Beulah Vitty Thomas</t>
  </si>
  <si>
    <t>Child</t>
  </si>
  <si>
    <t>Single</t>
  </si>
  <si>
    <t>41 -59</t>
  </si>
  <si>
    <t>Charlotte Vitty Thomas</t>
  </si>
  <si>
    <t>Evelyn Vitty Thomas</t>
  </si>
  <si>
    <t>Saniya Suri</t>
  </si>
  <si>
    <t>Miraya Suri Hotwani</t>
  </si>
  <si>
    <t>Shanaf Maliyakkal</t>
  </si>
  <si>
    <t>Shafna Ponnachethiyil</t>
  </si>
  <si>
    <t>Haala Sehrish Maliyakkal</t>
  </si>
  <si>
    <t>Zuhal Fatin Maliyakkal</t>
  </si>
  <si>
    <t>Anshuman Patnaik</t>
  </si>
  <si>
    <t>Anis Ahmed</t>
  </si>
  <si>
    <t>Suhana Lutfa Ahmed</t>
  </si>
  <si>
    <t>M</t>
  </si>
  <si>
    <t>Arsalan Ahmed</t>
  </si>
  <si>
    <t>F</t>
  </si>
  <si>
    <t>Mannal Ajaz</t>
  </si>
  <si>
    <t>Shayan Ahmed</t>
  </si>
  <si>
    <t>G</t>
  </si>
  <si>
    <t>H</t>
  </si>
  <si>
    <t>End</t>
  </si>
  <si>
    <t>Group Health Insurance Policy Automation Platform</t>
  </si>
  <si>
    <t>Version</t>
  </si>
  <si>
    <t>Date</t>
  </si>
  <si>
    <t>Prepared For</t>
  </si>
  <si>
    <t>Insurance Operations / RM Team</t>
  </si>
  <si>
    <t>Draft – Pending Stakeholder Review</t>
  </si>
  <si>
    <t>PRODUCT REQUIREMENTS DOCUMENT (PRD) — Group Health Insurance Policy Automation Platform</t>
  </si>
  <si>
    <t>Ref File</t>
  </si>
  <si>
    <t>1.  EXECUTIVE SUMMARY</t>
  </si>
  <si>
    <t>This system automates the end-to-end group health insurance policy onboarding workflow — from document upload through premium calculation, Excel report generation, Slack notification, and policy database entry. Currently manual (30–60 min/policy), error-prone, and inconsistent. MVP targets the workflow for MGH LOGISTICS L.L.C and standardises it across all new and renewal policies.</t>
  </si>
  <si>
    <t>2.  PROBLEM STATEMENT</t>
  </si>
  <si>
    <t>2.1  Manual file saving to shared folders is inconsistent — wrong naming conventions, wrong folder location.</t>
  </si>
  <si>
    <t>2.2  Premium Summary Sheets are built manually in Excel, taking 30–60 min per policy. Prone to formula errors.</t>
  </si>
  <si>
    <t>2.3  Slack notifications sent ad-hoc — no standard format, no guaranteed delivery, missing key fields.</t>
  </si>
  <si>
    <t>2.4  Policy database entry is fully manual — missing fields, stale data, and duplicate records are common.</t>
  </si>
  <si>
    <t>2.5  No single source of truth linking the TOB, census, premium data, broker, and RM in one place.</t>
  </si>
  <si>
    <t>3.  GOALS &amp; SUCCESS METRICS</t>
  </si>
  <si>
    <t>Goal ID</t>
  </si>
  <si>
    <t>Goal</t>
  </si>
  <si>
    <t>Success Metric</t>
  </si>
  <si>
    <t>Target</t>
  </si>
  <si>
    <t>G1</t>
  </si>
  <si>
    <t>Automate file intake &amp; saving</t>
  </si>
  <si>
    <t>Zero manual folder saves after upload</t>
  </si>
  <si>
    <t>G2</t>
  </si>
  <si>
    <t>Auto-generate Premium Summary Excel</t>
  </si>
  <si>
    <t>&lt; 2 min from upload to file ready</t>
  </si>
  <si>
    <t>&lt; 2 min</t>
  </si>
  <si>
    <t>G3</t>
  </si>
  <si>
    <t>Send structured Slack alert</t>
  </si>
  <si>
    <t>Slack message sent on every policy</t>
  </si>
  <si>
    <t>100% delivery</t>
  </si>
  <si>
    <t>G4</t>
  </si>
  <si>
    <t>Auto-populate policy database</t>
  </si>
  <si>
    <t>All required fields populated per policy</t>
  </si>
  <si>
    <t>Zero missing fields</t>
  </si>
  <si>
    <t>G5</t>
  </si>
  <si>
    <t>Full audit trail</t>
  </si>
  <si>
    <t>Every action logged with timestamp + user</t>
  </si>
  <si>
    <t>Full traceability</t>
  </si>
  <si>
    <t>4.  SCOPE</t>
  </si>
  <si>
    <t xml:space="preserve">  4.1  In Scope (MVP)</t>
  </si>
  <si>
    <t xml:space="preserve">  ✅  Document upload interface — accepts signed TOB (PDF) + Census (Excel/CSV)</t>
  </si>
  <si>
    <t xml:space="preserve">  ✅  Automatic file naming enforcement + save to shared folder (SharePoint / Google Drive / S3)</t>
  </si>
  <si>
    <t xml:space="preserve">  ✅  Premium calculation engine — parses census, applies age-bracket rates (ALB method), computes per-member premium incl. maternity</t>
  </si>
  <si>
    <t xml:space="preserve">  ✅  Premium Summary Excel generation (per-member, category totals, BASMAH, Slash, VAT) matching current manual format exactly</t>
  </si>
  <si>
    <t xml:space="preserve">  ✅  Auto-save generated Excel to correct client subfolder with standard naming convention</t>
  </si>
  <si>
    <t xml:space="preserve">  ✅  Slack Block Kit notification to #policy-ops with company, members, total premium, RM, broker, and file link</t>
  </si>
  <si>
    <t xml:space="preserve">  ✅  Policy database record: company, policy, broker, cost structure, RM, census with premiums, rate snapshot, document links</t>
  </si>
  <si>
    <t xml:space="preserve">  4.2  Out of Scope — Phase 2</t>
  </si>
  <si>
    <t xml:space="preserve">  ❌  Automated insurer quote fetching or comparative quoting engine</t>
  </si>
  <si>
    <t xml:space="preserve">  ❌  Member-facing self-service portal</t>
  </si>
  <si>
    <t xml:space="preserve">  ❌  Claims management integration</t>
  </si>
  <si>
    <t xml:space="preserve">  ❌  Automated email to broker / client</t>
  </si>
  <si>
    <t xml:space="preserve">  ❌  Renewal automation and mid-term endorsement flow</t>
  </si>
  <si>
    <t>5.  USER ROLES &amp; PERMISSIONS</t>
  </si>
  <si>
    <t>Role</t>
  </si>
  <si>
    <t>Description</t>
  </si>
  <si>
    <t>Permissions</t>
  </si>
  <si>
    <t>Primary operator — uploads docs, triggers workflow</t>
  </si>
  <si>
    <t>Upload, view, send Slack, edit own policy records</t>
  </si>
  <si>
    <t>Operations Admin</t>
  </si>
  <si>
    <t>Reviews outputs, approves DB entries</t>
  </si>
  <si>
    <t>View, approve, edit all records + audit log</t>
  </si>
  <si>
    <t>Finance / Reporting</t>
  </si>
  <si>
    <t>Needs premium data and reports</t>
  </si>
  <si>
    <t>View &amp; export only (read-only)</t>
  </si>
  <si>
    <t>System / Bot</t>
  </si>
  <si>
    <t>Executes the automated pipeline steps</t>
  </si>
  <si>
    <t>Read/write all — restricted to automation actions only</t>
  </si>
  <si>
    <t>6.  FUNCTIONAL REQUIREMENTS</t>
  </si>
  <si>
    <t xml:space="preserve">  FR-1  Document Upload &amp; File Storage</t>
  </si>
  <si>
    <t>Req ID</t>
  </si>
  <si>
    <t>Requirement</t>
  </si>
  <si>
    <t>Acceptance Criteria</t>
  </si>
  <si>
    <t>Priority</t>
  </si>
  <si>
    <t>Notes</t>
  </si>
  <si>
    <t>FR-1.1</t>
  </si>
  <si>
    <t>Upload Interface</t>
  </si>
  <si>
    <t>Web UI or Slack/Teams bot — upload signed TOB (PDF) + Census (Excel/CSV) in one action; drag-and-drop + file picker supported</t>
  </si>
  <si>
    <t>MUST</t>
  </si>
  <si>
    <t>FR-1.2</t>
  </si>
  <si>
    <t>File Naming</t>
  </si>
  <si>
    <t>Auto-rename: [ClientName]_TOB_[YYYY-MM-DD].pdf  and  [ClientName]_Census_[YYYY-MM-DD].xlsx</t>
  </si>
  <si>
    <t>Company name from upload form</t>
  </si>
  <si>
    <t>FR-1.3</t>
  </si>
  <si>
    <t>Folder Structure</t>
  </si>
  <si>
    <t>Create/navigate to /Policies/[Year]/[ClientName]/ — auto-create subfolders if absent</t>
  </si>
  <si>
    <t>SharePoint Graph API</t>
  </si>
  <si>
    <t>FR-1.4</t>
  </si>
  <si>
    <t>Duplicate Detection</t>
  </si>
  <si>
    <t>Warn if same client + date file already exists; prompt user to confirm overwrite or rename</t>
  </si>
  <si>
    <t>FR-1.5</t>
  </si>
  <si>
    <t>Upload Confirmation</t>
  </si>
  <si>
    <t>Return saved file URL/path; log action to audit trail with timestamp + user</t>
  </si>
  <si>
    <t xml:space="preserve">  FR-2  Premium Calculation Engine</t>
  </si>
  <si>
    <t>FR-2.1</t>
  </si>
  <si>
    <t>Census Parsing</t>
  </si>
  <si>
    <t>Extract: Name, DOB, Gender, Relationship, Category, Plan (Dubai/AUH/NE). Support Excel (.xlsx) and CSV formats.</t>
  </si>
  <si>
    <t>FR-2.2</t>
  </si>
  <si>
    <t>Age Calc (ALB)</t>
  </si>
  <si>
    <t>Compute each member's age as Age Last Birthday relative to policy inception date</t>
  </si>
  <si>
    <t>Match logic in 'Final premium per member' sheet</t>
  </si>
  <si>
    <t>FR-2.3</t>
  </si>
  <si>
    <t>Age Bracket Lookup</t>
  </si>
  <si>
    <t>Map each member to bracket (0-10, 11-17, 18-25, 26-30, 31-35, 36-40, 41-45, 46-50, 51-55, 56-59, 60-64, 65-99) by category (A/B/C), gender, and relationship type</t>
  </si>
  <si>
    <t>Rate table from approved TOB</t>
  </si>
  <si>
    <t>FR-2.4</t>
  </si>
  <si>
    <t>Add maternity premium for Female employees/spouses aged ≤ Maternity Age Limit (default: 46 per approved quote)</t>
  </si>
  <si>
    <t>Amount from approved quote sheet</t>
  </si>
  <si>
    <t>FR-2.5</t>
  </si>
  <si>
    <t>Premium Rollup</t>
  </si>
  <si>
    <t>Per-member total → category subtotal → grand total → add BASMAH (AED 37/member) + Slash Data fee + VAT (5%)</t>
  </si>
  <si>
    <t>All breakdowns must match Approved Quote sheet</t>
  </si>
  <si>
    <t>FR-2.6</t>
  </si>
  <si>
    <t>Variance Check</t>
  </si>
  <si>
    <t>If computed total ≠ confirmed premium in TOB → flag discrepancy, halt pipeline, alert RM. Tolerance: AED 0 (exact match).</t>
  </si>
  <si>
    <t xml:space="preserve">  FR-3  Premium Summary Excel Generation</t>
  </si>
  <si>
    <t>FR-3.1</t>
  </si>
  <si>
    <t>Template Match</t>
  </si>
  <si>
    <t>Generated Excel replicates current manual file exactly: same sheets, columns, headers, number formats, conditional formatting</t>
  </si>
  <si>
    <t>Use openpyxl or ExcelJS template</t>
  </si>
  <si>
    <t>FR-3.2</t>
  </si>
  <si>
    <t>Per-Member Rows</t>
  </si>
  <si>
    <t>One row per member: No., Name, DOB, Gender, Category, Relationship, Marital Status, Plan, Age (ALB), Age Bracket, Base Premium, Maternity Premium, Total Premium</t>
  </si>
  <si>
    <t>FR-3.3</t>
  </si>
  <si>
    <t>Summary Totals</t>
  </si>
  <si>
    <t>Header totals row: Total Base Premium, Total Maternity Premium, Grand Total, Member Count</t>
  </si>
  <si>
    <t>FR-3.4</t>
  </si>
  <si>
    <t>Rate Table Panel</t>
  </si>
  <si>
    <t>Age-bracket rate lookup table on right-side panel (columns S–Z current layout)</t>
  </si>
  <si>
    <t>SHOULD</t>
  </si>
  <si>
    <t>Match current manual layout</t>
  </si>
  <si>
    <t>FR-3.5</t>
  </si>
  <si>
    <t>Approved Quote Tab</t>
  </si>
  <si>
    <t>Generate 'Approved Quote' sheet: premium overview, BASMAH, Slash Data, VAT, category breakdown table</t>
  </si>
  <si>
    <t>FR-3.6</t>
  </si>
  <si>
    <t>Confirmation Info Tab</t>
  </si>
  <si>
    <t>Populate 'Confirmation Info Sheet': company, broker, RM, inception date, document checklist status</t>
  </si>
  <si>
    <t>FR-3.7</t>
  </si>
  <si>
    <t>File Save &amp; Naming</t>
  </si>
  <si>
    <t>Save as [ClientName]_PremiumSummary_[YYYY-MM-DD].xlsx to client's shared folder</t>
  </si>
  <si>
    <t xml:space="preserve">  FR-4  Slack Notification</t>
  </si>
  <si>
    <t>FR-4.1</t>
  </si>
  <si>
    <t>Auto-Trigger</t>
  </si>
  <si>
    <t>Slack message sent automatically after Excel is saved — no manual action needed from RM</t>
  </si>
  <si>
    <t>FR-4.2</t>
  </si>
  <si>
    <t>Target Channel</t>
  </si>
  <si>
    <t>Post to configurable channel (e.g. #policy-ops); channel name stored in system config</t>
  </si>
  <si>
    <t>FR-4.3</t>
  </si>
  <si>
    <t>Block Kit Format</t>
  </si>
  <si>
    <t>Structured message: 🏢 Company | 👥 Members | 💰 Net Premium | 🧾 Grand Total incl. VAT | 🗓️ Inception | 🧑 RM | 🤝 Broker | 📋 Policy Type | 📎 Excel Link | ✅ Status</t>
  </si>
  <si>
    <t>Slack Block Kit — not plain text</t>
  </si>
  <si>
    <t>FR-4.4</t>
  </si>
  <si>
    <t>Excel File Link</t>
  </si>
  <si>
    <t>Include clickable link to the Premium Summary Excel in the shared folder</t>
  </si>
  <si>
    <t>FR-4.5</t>
  </si>
  <si>
    <t>Error Alerting</t>
  </si>
  <si>
    <t>Pipeline failure → auto-alert #ops-alerts with step name, error detail, and client name</t>
  </si>
  <si>
    <t xml:space="preserve">  FR-5  Policy Database Entry</t>
  </si>
  <si>
    <t>FR-5.1</t>
  </si>
  <si>
    <t>Company Record</t>
  </si>
  <si>
    <t>Create/update: Legal Name, Emirate, Trade License No., VAT No., Establishment ID</t>
  </si>
  <si>
    <t>FR-5.2</t>
  </si>
  <si>
    <t>Policy Record</t>
  </si>
  <si>
    <t>Store: Policy No., Inception Date, Expiry Date, Insurer, Type (New/Renewal), Confirmed Premium, Member Count</t>
  </si>
  <si>
    <t>FR-5.3</t>
  </si>
  <si>
    <t>Broker Record</t>
  </si>
  <si>
    <t>Link broker entity: Broker Name, Contact Person, Commission %</t>
  </si>
  <si>
    <t>FR-5.4</t>
  </si>
  <si>
    <t>Cost Structure</t>
  </si>
  <si>
    <t>Base Premium, BASMAH Fee, Slash Data Fee, VAT Amount, Grand Total — breakdown by Category (A/B/C)</t>
  </si>
  <si>
    <t>FR-5.5</t>
  </si>
  <si>
    <t>RM Assignment</t>
  </si>
  <si>
    <t>Record Relationship Manager (name, user ID) assigned to this policy</t>
  </si>
  <si>
    <t>FR-5.6</t>
  </si>
  <si>
    <t>Census with Premiums</t>
  </si>
  <si>
    <t>Per-member record: Name, DOB, Gender, Category, Relationship, Plan, Age (ALB), Age Bracket, Base Premium, Maternity Premium, Total Premium — linked via policy_id FK</t>
  </si>
  <si>
    <t>FR-5.7</t>
  </si>
  <si>
    <t>Rate Snapshot</t>
  </si>
  <si>
    <t>Store full rate table used at inception (category × gender × age bracket → AED) — prevents historical loss on future rate changes</t>
  </si>
  <si>
    <t>FR-5.8</t>
  </si>
  <si>
    <t>Document Links</t>
  </si>
  <si>
    <t>Attach file URLs: signed TOB PDF, Census file, Premium Summary Excel</t>
  </si>
  <si>
    <t>FR-5.9</t>
  </si>
  <si>
    <t>Duplicate Check</t>
  </si>
  <si>
    <t>If company + inception date combination already exists → prompt user: New Policy or Endorsement?</t>
  </si>
  <si>
    <t>7.  POLICY DATABASE SCHEMA</t>
  </si>
  <si>
    <t xml:space="preserve">  7.1  Table Overview</t>
  </si>
  <si>
    <t>Table</t>
  </si>
  <si>
    <t>Description &amp; Key Fields</t>
  </si>
  <si>
    <t>companies</t>
  </si>
  <si>
    <t>Legal entity. Fields: company_id (PK), legal_name, emirate, trade_license, vat_no, establishment_id</t>
  </si>
  <si>
    <t>policies</t>
  </si>
  <si>
    <t>One per policy period. Fields: policy_id (PK), company_id (FK), policy_no, inception_date, expiry_date, insurer, type, confirmed_premium, member_count, rm_id</t>
  </si>
  <si>
    <t>brokers</t>
  </si>
  <si>
    <t>Broker entities. Fields: broker_id (PK), broker_name, contact_person, email, phone</t>
  </si>
  <si>
    <t>policy_brokers</t>
  </si>
  <si>
    <t>Junction broker ↔ policy. Fields: policy_id (FK), broker_id (FK), commission_pct</t>
  </si>
  <si>
    <t>members</t>
  </si>
  <si>
    <t>Insured persons. Fields: member_id (PK), policy_id (FK), name, dob, gender, category, relationship, plan, age_alb, age_bracket, base_premium, maternity_premium, total_premium</t>
  </si>
  <si>
    <t>rate_tables</t>
  </si>
  <si>
    <t>Rate snapshot at inception. Fields: rate_table_id (PK), policy_id (FK), category, gender, relationship_type, age_bracket, premium_aed, captured_date</t>
  </si>
  <si>
    <t>documents</t>
  </si>
  <si>
    <t>File references. Fields: doc_id (PK), policy_id (FK), doc_type (TOB/Census/PremiumSummary), file_name, file_url, uploaded_by, uploaded_at</t>
  </si>
  <si>
    <t>audit_log</t>
  </si>
  <si>
    <t>Action log. Fields: log_id (PK), user_id, action_type, entity_type, entity_id, timestamp, payload_hash, result_status</t>
  </si>
  <si>
    <t>8.  TECHNICAL ARCHITECTURE &amp; RECOMMENDED STACK</t>
  </si>
  <si>
    <t>Component</t>
  </si>
  <si>
    <t>Technology / Approach</t>
  </si>
  <si>
    <t>Frontend / UI</t>
  </si>
  <si>
    <t>Backend / API</t>
  </si>
  <si>
    <t>Python FastAPI or Node.js Express — orchestrates the full pipeline: file parsing, premium calc, DB writes, Slack calls, Excel generation</t>
  </si>
  <si>
    <t>Premium Calc Engine</t>
  </si>
  <si>
    <t>Python (openpyxl + pandas) — replicates the Excel logic: age bracket lookup (ALB method), maternity rule, BASMAH/Slash/VAT rollup. Validated against MGH LOGISTICS test case.</t>
  </si>
  <si>
    <t>File Storage</t>
  </si>
  <si>
    <t>SharePoint Online via Microsoft Graph API (recommended for UAE MS-ecosystem) — OR Google Drive API / AWS S3</t>
  </si>
  <si>
    <t>Excel Generation</t>
  </si>
  <si>
    <t>openpyxl (Python) or ExcelJS (Node.js) — populates Premium Summary workbook from locked template, preserving all formatting</t>
  </si>
  <si>
    <t>Slack Integration</t>
  </si>
  <si>
    <t>Slack Bolt SDK — sends Block Kit messages via Bot token; error alerts via Incoming Webhooks; channel name in config</t>
  </si>
  <si>
    <t>Database</t>
  </si>
  <si>
    <t>PostgreSQL on AWS RDS (recommended — relational model fits policy/member data) — OR Airtable for fast low-code MVP</t>
  </si>
  <si>
    <t>Auth / IAM</t>
  </si>
  <si>
    <t>OAuth 2.0 / Microsoft SSO via Azure AD — role-based access control enforced at API level</t>
  </si>
  <si>
    <t>Hosting</t>
  </si>
  <si>
    <t>AWS Lambda + RDS Serverless (preferred) — OR Azure App Service / GCP Cloud Run</t>
  </si>
  <si>
    <t>Low-Code Option</t>
  </si>
  <si>
    <t>n8n or Make (Integromat) — visual workflow builder; suitable Phase 1 MVP for teams avoiding custom code</t>
  </si>
  <si>
    <t>9.  NON-FUNCTIONAL REQUIREMENTS</t>
  </si>
  <si>
    <t>Performance</t>
  </si>
  <si>
    <t>End-to-end pipeline (upload → Slack sent) completes in &lt; 3 minutes for a 500-member census</t>
  </si>
  <si>
    <t>Reliability</t>
  </si>
  <si>
    <t>99.5% uptime SLA; automatic retry (3×) on file-save or Slack-send failure before alerting ops</t>
  </si>
  <si>
    <t>Security</t>
  </si>
  <si>
    <t>Documents encrypted at rest (AES-256) and in transit (TLS 1.2+); role-based access control at API level</t>
  </si>
  <si>
    <t>Auditability</t>
  </si>
  <si>
    <t>Full audit log: every upload, calculation run, DB write, and Slack message logged with user ID + timestamp</t>
  </si>
  <si>
    <t>Scalability</t>
  </si>
  <si>
    <t>Supports 100 concurrent policy uploads without performance degradation</t>
  </si>
  <si>
    <t>Data Retention</t>
  </si>
  <si>
    <t>Policy docs retained 7 years (UAE insurance regulation); member data retained policy duration + 5 years</t>
  </si>
  <si>
    <t>Error Handling</t>
  </si>
  <si>
    <t>All errors surfaced in UI with human-readable message; critical failures auto-alert #ops-alerts Slack channel</t>
  </si>
  <si>
    <t>10.  STEP-BY-STEP PROCESS FLOW</t>
  </si>
  <si>
    <t>Step</t>
  </si>
  <si>
    <t>Stage</t>
  </si>
  <si>
    <t>Actor</t>
  </si>
  <si>
    <t>Action &amp; Acceptance Criteria</t>
  </si>
  <si>
    <t>Document Upload</t>
  </si>
  <si>
    <t>File Validation</t>
  </si>
  <si>
    <t>System</t>
  </si>
  <si>
    <t>Validates census has required columns (Name, DOB, Gender, Category, Plan, Relationship) and TOB is not blank/corrupt. On failure → error with specific missing field returned to RM.</t>
  </si>
  <si>
    <t>File Save</t>
  </si>
  <si>
    <t>Creates folder /Policies/[Year]/[ClientName]/ if absent. Renames files to naming convention. Saves to shared folder. Returns folder URL.</t>
  </si>
  <si>
    <t>Premium Calculation</t>
  </si>
  <si>
    <t>Parses census → computes age (ALB) → maps age bracket → applies rate table → computes per-member base premium + maternity → rolls up totals → adds BASMAH (AED 37/member) + Slash Data + VAT (5%). Runs variance check vs. confirmed premium. Halts if discrepancy found.</t>
  </si>
  <si>
    <t>Populates Excel template (all 3 sheets: Final premium per member, Approved Quote, Confirmation Info). Saves as [ClientName]_PremiumSummary_[Date].xlsx to client folder.</t>
  </si>
  <si>
    <t>Slack Notification</t>
  </si>
  <si>
    <t>Bot sends Block Kit message to #policy-ops: company, member count, net premium, grand total, inception date, RM, broker, policy type, and clickable Excel link.</t>
  </si>
  <si>
    <t>Database Entry</t>
  </si>
  <si>
    <t>Writes: companies, policies, brokers, policy_brokers, members (with per-member premiums), rate_tables (snapshot), documents (file URLs). All linked via policy_id.</t>
  </si>
  <si>
    <t>Audit Log</t>
  </si>
  <si>
    <t>All 7 steps logged: timestamp, user_id, action type, input hash, output confirmation, and file URLs stored.</t>
  </si>
  <si>
    <t>11.  SLACK BLOCK KIT MESSAGE TEMPLATE</t>
  </si>
  <si>
    <t>🏥  *New Policy Processed* — [Company Name]</t>
  </si>
  <si>
    <t>Field Label</t>
  </si>
  <si>
    <t>Value to Populate</t>
  </si>
  <si>
    <t>🏢  Company</t>
  </si>
  <si>
    <t>[Company Legal Name from database]</t>
  </si>
  <si>
    <t>🗓️  Inception Date</t>
  </si>
  <si>
    <t>[DD-MMM-YYYY]  (e.g. 01-Apr-2025)</t>
  </si>
  <si>
    <t>👥  Members</t>
  </si>
  <si>
    <t>[N] members  |  Category [A/B/C]</t>
  </si>
  <si>
    <t>💰  Net Premium</t>
  </si>
  <si>
    <t>AED [XXX,XXX]  (base premium before fees)</t>
  </si>
  <si>
    <t>🧾  Grand Total</t>
  </si>
  <si>
    <t>AED [XXX,XXX]  (incl. BASMAH + Slash Data + VAT)</t>
  </si>
  <si>
    <t>🧑‍💼  Relationship Manager</t>
  </si>
  <si>
    <t>[RM Full Name]</t>
  </si>
  <si>
    <t>🤝  Broker</t>
  </si>
  <si>
    <t>[Broker Entity Name]  —  [Contact Person]</t>
  </si>
  <si>
    <t>📋  Policy Type</t>
  </si>
  <si>
    <t>New Business  /  Renewal</t>
  </si>
  <si>
    <t>📂  Plan &amp; Emirate</t>
  </si>
  <si>
    <t>Category [A]  —  Dubai / Abu Dhabi / Northern Emirates</t>
  </si>
  <si>
    <t>📎  Premium Summary</t>
  </si>
  <si>
    <t>&lt;https://sharepoint.../[ClientName]_PremiumSummary_[Date].xlsx|📥 View Excel File&gt;</t>
  </si>
  <si>
    <t>✅  Status</t>
  </si>
  <si>
    <t>Policy database updated. Documents saved to SharePoint.</t>
  </si>
  <si>
    <t>12.  DELIVERY MILESTONES  (13-WEEK SUGGESTED PLAN)</t>
  </si>
  <si>
    <t>Milestone</t>
  </si>
  <si>
    <t>Timeline</t>
  </si>
  <si>
    <t>Owner</t>
  </si>
  <si>
    <t>Deliverable</t>
  </si>
  <si>
    <t>M1</t>
  </si>
  <si>
    <t>Wk 1–2</t>
  </si>
  <si>
    <t>PM + Tech Lead</t>
  </si>
  <si>
    <t>Requirements sign-off, tech stack decision, DB schema finalized, repo set up</t>
  </si>
  <si>
    <t>M2</t>
  </si>
  <si>
    <t>Wk 3–4</t>
  </si>
  <si>
    <t>Backend Dev</t>
  </si>
  <si>
    <t>File upload + storage module built and tested (TOB + Census → SharePoint)</t>
  </si>
  <si>
    <t>M3</t>
  </si>
  <si>
    <t>Wk 5–6</t>
  </si>
  <si>
    <t>Premium calculation engine built — validated against ≥5 real policy files incl. MGH LOGISTICS</t>
  </si>
  <si>
    <t>M4</t>
  </si>
  <si>
    <t>Wk 7–8</t>
  </si>
  <si>
    <t>Excel generation module — output matches manual format exactly (all 3 sheets)</t>
  </si>
  <si>
    <t>M5</t>
  </si>
  <si>
    <t>Wk 9</t>
  </si>
  <si>
    <t>Slack integration live — Block Kit messages tested in staging channel</t>
  </si>
  <si>
    <t>M6</t>
  </si>
  <si>
    <t>Wk 10</t>
  </si>
  <si>
    <t>Database live — all 8 entities populated end-to-end on test policy</t>
  </si>
  <si>
    <t>M7</t>
  </si>
  <si>
    <t>Wk 11</t>
  </si>
  <si>
    <t>Full Team</t>
  </si>
  <si>
    <t>Full pipeline integration test with 3 real client cases (incl. MGH LOGISTICS)</t>
  </si>
  <si>
    <t>M8</t>
  </si>
  <si>
    <t>Wk 12</t>
  </si>
  <si>
    <t>PM + Ops</t>
  </si>
  <si>
    <t>UAT with RM team, bug fixes, documentation, training materials</t>
  </si>
  <si>
    <t>M9</t>
  </si>
  <si>
    <t>Wk 13</t>
  </si>
  <si>
    <t>DevOps</t>
  </si>
  <si>
    <t>Production go-live + monitoring setup (alerts, uptime dashboard, error tracking)</t>
  </si>
  <si>
    <t>13.  OPEN QUESTIONS &amp; DECISIONS NEEDED</t>
  </si>
  <si>
    <t>OQ ID</t>
  </si>
  <si>
    <t>Topic</t>
  </si>
  <si>
    <t>Question / Decision Required</t>
  </si>
  <si>
    <t>OQ-1</t>
  </si>
  <si>
    <t>SharePoint Online vs Google Drive vs S3? SharePoint preferred for UAE MS-ecosystem alignment.</t>
  </si>
  <si>
    <t>RM + IT</t>
  </si>
  <si>
    <t>🔴 Open</t>
  </si>
  <si>
    <t>OQ-2</t>
  </si>
  <si>
    <t>PostgreSQL (scalable, relational) vs Airtable (fast low-code MVP)? Recommend PostgreSQL for production.</t>
  </si>
  <si>
    <t>Tech Lead</t>
  </si>
  <si>
    <t>OQ-3</t>
  </si>
  <si>
    <t>UI Entry Point</t>
  </si>
  <si>
    <t>Web app, Slack slash command (/newpolicy), or Microsoft Teams tab? Recommend Slack command for RM adoption speed.</t>
  </si>
  <si>
    <t>PM + RMs</t>
  </si>
  <si>
    <t>OQ-4</t>
  </si>
  <si>
    <t>Rate Table Source</t>
  </si>
  <si>
    <t>Is the approved rate table embedded in the TOB PDF (requires PDF parsing) or maintained in a separate master rate sheet?</t>
  </si>
  <si>
    <t>Underwriting</t>
  </si>
  <si>
    <t>OQ-5</t>
  </si>
  <si>
    <t>Multi-Category Policies</t>
  </si>
  <si>
    <t>How to handle policies with Categories A + B + C simultaneously? Current files use Category A only. Need spec.</t>
  </si>
  <si>
    <t>Ops Team</t>
  </si>
  <si>
    <t>OQ-6</t>
  </si>
  <si>
    <t>Endorsement Flow</t>
  </si>
  <si>
    <t>Mid-term member additions/removals — include in MVP or defer to Phase 2?</t>
  </si>
  <si>
    <t>PM</t>
  </si>
  <si>
    <t>OQ-7</t>
  </si>
  <si>
    <t>TOB PDF Parsing</t>
  </si>
  <si>
    <t>Is the TOB structured enough for automated field extraction, or will key fields (premium, dates) be manually entered?</t>
  </si>
  <si>
    <t>PRD v1.0  —  Group Health Insurance Policy Automation Platform  |  Confidential — Internal Use Only  |  Last Updated: 30 Mar 2025</t>
  </si>
  <si>
    <t>PREMIUM CALCULATION EXPLAINER — Group Health Insurance (UAE)</t>
  </si>
  <si>
    <t>Step-by-step explanation of every calculation in 'Final premium per member', 'Premium Table', and 'Approved Quote' sheets   |   Reference: MGH LOGISTICS L.L.C</t>
  </si>
  <si>
    <t>HOW THE CALCULATION WORKS — OVERVIEW</t>
  </si>
  <si>
    <t>STEP 1</t>
  </si>
  <si>
    <t>Age Calculation (ALB)</t>
  </si>
  <si>
    <t>For each member, compute Age Last Birthday (ALB) = full years elapsed between Date of Birth and Policy Start Date</t>
  </si>
  <si>
    <t>STEP 2</t>
  </si>
  <si>
    <t>Age Bracket Mapping</t>
  </si>
  <si>
    <t>Map the ALB to an age bracket (e.g. 41–45). The bracket depends on the plan (Dubai or Abu Dhabi).</t>
  </si>
  <si>
    <t>STEP 3</t>
  </si>
  <si>
    <t>Column Code Lookup</t>
  </si>
  <si>
    <t>Determine the rate column to use based on: Category (A/B/C) + Gender (M/F) + Relationship (Employee/Dependent)</t>
  </si>
  <si>
    <t>STEP 4</t>
  </si>
  <si>
    <t>Base Premium Lookup</t>
  </si>
  <si>
    <t>Look up the base annual premium (AED) from the rate table using: Age Bracket Code + Column Code</t>
  </si>
  <si>
    <t>STEP 5</t>
  </si>
  <si>
    <t>Add maternity surcharge for Female + Married + Age &gt; 17 + Age &lt; Maternity Age Limit (46 for Dubai, 51 for Abu Dhabi)</t>
  </si>
  <si>
    <t>STEP 6</t>
  </si>
  <si>
    <t>Total Premium per Member</t>
  </si>
  <si>
    <t>Base Premium + Maternity Premium = Total Annual Premium for that member</t>
  </si>
  <si>
    <t>STEP 7</t>
  </si>
  <si>
    <t>Grand Total + Fees</t>
  </si>
  <si>
    <t>Sum all member premiums → add BASMAH fee (AED 37/member) → add Slash Data fee → add VAT (5%)</t>
  </si>
  <si>
    <t>STEP 1  —  AGE CALCULATION (Age Last Birthday / ALB)</t>
  </si>
  <si>
    <t>What is ALB?</t>
  </si>
  <si>
    <t>Age Last Birthday (ALB) = the member's age in complete years on the policy start date. It does NOT round up — a person who turns 42 in 3 months is still 41. This is the standard UAE insurance age convention.</t>
  </si>
  <si>
    <t>Formula Used</t>
  </si>
  <si>
    <t>Column</t>
  </si>
  <si>
    <t>Excel Formula</t>
  </si>
  <si>
    <t>Example (Vitty Thomas)</t>
  </si>
  <si>
    <t>Result</t>
  </si>
  <si>
    <t>L (col 12)</t>
  </si>
  <si>
    <t>DOB: 30 Aug 1983 (serial 30593)  |  Policy Start: 01 Jan 2026 (serial 46105)</t>
  </si>
  <si>
    <t>42 years</t>
  </si>
  <si>
    <t>Explanation</t>
  </si>
  <si>
    <t>DATEDIF(start_date, end_date, "Y") returns the number of complete years between two dates. The DOB is in column C. The policy start date is pulled from 'Premium Table'!B6 — this is a single source of truth for the policy inception date used by all members.</t>
  </si>
  <si>
    <t>STEP 2  —  AGE BRACKET MAPPING</t>
  </si>
  <si>
    <t>What is it?</t>
  </si>
  <si>
    <t>Members are grouped into age brackets. Dubai and Abu Dhabi plans have DIFFERENT bracket ranges. The bracket label (e.g. '41 - 45') is what gets looked up in the rate table. A VLOOKUP maps the numeric ALB age to a bracket string using a lookup table at columns V–X of the 'Final premium per member' sheet.</t>
  </si>
  <si>
    <t>Dubai (DXB) Age Brackets</t>
  </si>
  <si>
    <t>Abu Dhabi (AUH) Age Brackets</t>
  </si>
  <si>
    <t>Bracket Code</t>
  </si>
  <si>
    <t>Age Range (DXB)</t>
  </si>
  <si>
    <t>Ages (numeric)</t>
  </si>
  <si>
    <t>Age Range (AUH)</t>
  </si>
  <si>
    <t>0 – 10</t>
  </si>
  <si>
    <t>0 to 10</t>
  </si>
  <si>
    <t>11 – 17</t>
  </si>
  <si>
    <t>11 to 17</t>
  </si>
  <si>
    <t>18 – 25</t>
  </si>
  <si>
    <t>18 to 25</t>
  </si>
  <si>
    <t>26 – 30</t>
  </si>
  <si>
    <t>26 to 30</t>
  </si>
  <si>
    <t>31 – 35</t>
  </si>
  <si>
    <t>31 to 35</t>
  </si>
  <si>
    <t>36 – 40</t>
  </si>
  <si>
    <t>36 to 40</t>
  </si>
  <si>
    <t>41 – 45</t>
  </si>
  <si>
    <t>41 to 45</t>
  </si>
  <si>
    <t>46 – 50</t>
  </si>
  <si>
    <t>46 to 50</t>
  </si>
  <si>
    <t>51 – 55</t>
  </si>
  <si>
    <t>51 to 55</t>
  </si>
  <si>
    <t>56 – 59</t>
  </si>
  <si>
    <t>56 to 59</t>
  </si>
  <si>
    <t>60 – 64</t>
  </si>
  <si>
    <t>60 to 64</t>
  </si>
  <si>
    <t>65 – 99</t>
  </si>
  <si>
    <t>65+</t>
  </si>
  <si>
    <t>0 – 17</t>
  </si>
  <si>
    <t>0 to 17</t>
  </si>
  <si>
    <t>18 – 40</t>
  </si>
  <si>
    <t>18 to 40</t>
  </si>
  <si>
    <t>41 – 59</t>
  </si>
  <si>
    <t>41 to 59</t>
  </si>
  <si>
    <t>M (col 13)</t>
  </si>
  <si>
    <t>Lookup table at cols V–X maps numeric age → bracket string. Col W = DXB brackets, Col X = AUH brackets.</t>
  </si>
  <si>
    <t>STEP 3  —  COLUMN CODE LOOKUP (Which rate column to use?)</t>
  </si>
  <si>
    <t>The rate table has different columns for each combination of Category (A, B, C) × Gender (M, F) × Relationship (Employee/Principal, Dependent). A short code like 'AME' = Category A, Male, Employee. A number (2–13) tells the VLOOKUP which column of the rate table to pull from.</t>
  </si>
  <si>
    <t>Code</t>
  </si>
  <si>
    <t>Column #</t>
  </si>
  <si>
    <t>Example Member</t>
  </si>
  <si>
    <t>Meaning</t>
  </si>
  <si>
    <t>AME</t>
  </si>
  <si>
    <t>Employee (Principal)</t>
  </si>
  <si>
    <t>→ Male employee under Category A plan</t>
  </si>
  <si>
    <t>AFE</t>
  </si>
  <si>
    <t>→ Female employee under Category A plan</t>
  </si>
  <si>
    <t>AMD</t>
  </si>
  <si>
    <t>Dependent</t>
  </si>
  <si>
    <t>—</t>
  </si>
  <si>
    <t>→ Male dependent (child/spouse) under Category A</t>
  </si>
  <si>
    <t>AFD</t>
  </si>
  <si>
    <t>Alice Raju, all female children</t>
  </si>
  <si>
    <t>→ Female dependent under Category A</t>
  </si>
  <si>
    <t>BME</t>
  </si>
  <si>
    <t>(not in this policy)</t>
  </si>
  <si>
    <t>→ Male employee under Category B plan</t>
  </si>
  <si>
    <t>BFE</t>
  </si>
  <si>
    <t>→ Female employee under Category B plan</t>
  </si>
  <si>
    <t>BMD</t>
  </si>
  <si>
    <t>→ Male dependent under Category B</t>
  </si>
  <si>
    <t>BFD</t>
  </si>
  <si>
    <t>→ Female dependent under Category B</t>
  </si>
  <si>
    <t>CME</t>
  </si>
  <si>
    <t>→ Male employee under Category C plan</t>
  </si>
  <si>
    <t>CFE</t>
  </si>
  <si>
    <t>→ Female employee under Category C plan</t>
  </si>
  <si>
    <t>CMD</t>
  </si>
  <si>
    <t>→ Male dependent under Category C</t>
  </si>
  <si>
    <t>CFD</t>
  </si>
  <si>
    <t>→ Female dependent under Category C</t>
  </si>
  <si>
    <t>How the code is constructed</t>
  </si>
  <si>
    <t>J (col 10)</t>
  </si>
  <si>
    <t>Concatenates: Category letter + M/F from Gender + E/D from Relationship. E.g. Cat A + Male + Employee = 'AME'</t>
  </si>
  <si>
    <t>Column Number</t>
  </si>
  <si>
    <t>K (col 11)</t>
  </si>
  <si>
    <t>Looks up the code (e.g. 'AME') in the code-to-number mapping table at cols Y–Z to get the column number (e.g. 2)</t>
  </si>
  <si>
    <t>STEP 4  —  BASE PREMIUM LOOKUP (From the Rate Table)</t>
  </si>
  <si>
    <t>The rate table (columns V–BB, rows 5–17) contains all annual premiums in AED. The row is selected by the Age Bracket Code (1–12). The column is selected by the Column Number (2–13 = AME, AFE, AMD, AFD…). A single VLOOKUP retrieves the exact AED premium for that member's combination.</t>
  </si>
  <si>
    <t>Category A Rate Table (AED Annual Premiums)  —  Extracted from 'Final premium per member' sheet cols V–BB</t>
  </si>
  <si>
    <t>M Principal (AME col 2)</t>
  </si>
  <si>
    <t>F Principal (AFE col 3)</t>
  </si>
  <si>
    <t>M Dependent (AMD col 4)</t>
  </si>
  <si>
    <t>F Dependent (AFD col 5)</t>
  </si>
  <si>
    <t>NA = not applicable for employees/principal in this bracket</t>
  </si>
  <si>
    <t>Note: col 4 (AMD) has 8,795 — slightly different from AME 8,785</t>
  </si>
  <si>
    <t>Indicative only — requires MAF &amp; MER</t>
  </si>
  <si>
    <t>Inputs required</t>
  </si>
  <si>
    <t>Output</t>
  </si>
  <si>
    <t>Base Premium</t>
  </si>
  <si>
    <t>O (col 15)</t>
  </si>
  <si>
    <t>N6 = Age Bracket Code (row index)  |  K6 = Column Number (e.g. 2 for AME)</t>
  </si>
  <si>
    <t>AED annual base premium</t>
  </si>
  <si>
    <t>Worked Example</t>
  </si>
  <si>
    <t>Vitty Thomas: Age=42 → Bracket='41-45' → Bracket Code=7  |  Code=AME → Column No.=2  →  VLOOKUP(7, rate_table, 2, FALSE)  =  AED 8,785</t>
  </si>
  <si>
    <t>STEP 5  —  MATERNITY PREMIUM</t>
  </si>
  <si>
    <t>A fixed annual maternity surcharge (AED 5,244 for Dubai) is added on top of the base premium for eligible female members. The rules check ALL four conditions simultaneously. If any condition fails, the maternity premium is AED 0.</t>
  </si>
  <si>
    <t>Condition</t>
  </si>
  <si>
    <t>Criterion</t>
  </si>
  <si>
    <t>Column / Source</t>
  </si>
  <si>
    <t>Example — Alice Raju (row 7)</t>
  </si>
  <si>
    <t>Pass?</t>
  </si>
  <si>
    <t>Gender = FEMALE</t>
  </si>
  <si>
    <t>Column D (Gender). Checks LEFT(D6,1)="F"</t>
  </si>
  <si>
    <t>Alice Raju = FEMALE</t>
  </si>
  <si>
    <t>✅ PASS</t>
  </si>
  <si>
    <t>Marital Status = Married</t>
  </si>
  <si>
    <t>Column G (Marital Status). Checks G6="Married"</t>
  </si>
  <si>
    <t>Alice Raju = Married</t>
  </si>
  <si>
    <t>Age &gt; 17 (above minor threshold)</t>
  </si>
  <si>
    <t>Column L (Age ALB). Checks L6&gt;17</t>
  </si>
  <si>
    <t>Alice Raju = 41 years old</t>
  </si>
  <si>
    <t>Age &lt; Maternity Age Limit</t>
  </si>
  <si>
    <t>Col P = 46 (Dubai) or 51 (Abu Dhabi). Checks L6&lt;P6</t>
  </si>
  <si>
    <t>Alice Raju = 41 &lt; 46</t>
  </si>
  <si>
    <t>✅ PASS → AED 5,244 added</t>
  </si>
  <si>
    <t>Amount</t>
  </si>
  <si>
    <t>Q (col 17)</t>
  </si>
  <si>
    <t>AED 5,244 (Dubai)  /  AED 0 (if any condition fails)</t>
  </si>
  <si>
    <t>HLOOKUP looks up maternity amount by Category across row 1 of cols W–AA</t>
  </si>
  <si>
    <t>P (col 16)</t>
  </si>
  <si>
    <t>Dubai plan: age limit 46  |  Abu Dhabi plan: age limit 51</t>
  </si>
  <si>
    <t>Members at or above this age get AED 0 maternity premium</t>
  </si>
  <si>
    <t>Alice Raju (row 7): Female + Married + Age 41 &gt; 17 + Age 41 &lt; 46 (limit) → ALL 4 conditions pass → HLOOKUP('A', maternity_amounts, 2, FALSE) = AED 5,244</t>
  </si>
  <si>
    <t>Counter-Example</t>
  </si>
  <si>
    <t>Vitty Thomas (row 6): MALE → first condition fails immediately → Maternity Premium = AED 0.   Suhana Ahmed (row 14): Female + Married + Age 54 &gt; 46 (limit) → condition 4 fails → AED 0.</t>
  </si>
  <si>
    <t>STEP 6  —  TOTAL PREMIUM PER MEMBER</t>
  </si>
  <si>
    <t>Formula</t>
  </si>
  <si>
    <t>R (col 18)</t>
  </si>
  <si>
    <t>Line Item</t>
  </si>
  <si>
    <t>Client</t>
  </si>
  <si>
    <t>Base Net Premium</t>
  </si>
  <si>
    <t>SUM of 4 eligible female members x AED 5,244</t>
  </si>
  <si>
    <t>Total Premium (Net)</t>
  </si>
  <si>
    <t>STEP 7  —  GRAND TOTAL + FEES + VAT (Approved Quote Sheet)</t>
  </si>
  <si>
    <t>144,218 + 20,976 = Confirmed Premium in TOB</t>
  </si>
  <si>
    <t>KEY TOTAL</t>
  </si>
  <si>
    <t>BASMAH Fee</t>
  </si>
  <si>
    <t>AED 37 x 17 members (DHA regulatory fee)</t>
  </si>
  <si>
    <t>AED 25 x 0 Rest-of-UAE members</t>
  </si>
  <si>
    <t>0 members outside Dubai</t>
  </si>
  <si>
    <t>VAT (5%)</t>
  </si>
  <si>
    <t>(165,194 + 629 + 0) x 5%</t>
  </si>
  <si>
    <t>Applied to Premium + BASMAH + Slash</t>
  </si>
  <si>
    <t>GRAND TOTAL</t>
  </si>
  <si>
    <t>165,194 + 629 + 0 + 8,291.15</t>
  </si>
  <si>
    <t>Final invoiceable amount</t>
  </si>
  <si>
    <t>FULL WORKED EXAMPLE — All 17 Members of MGH LOGISTICS L.L.C</t>
  </si>
  <si>
    <t>#</t>
  </si>
  <si>
    <t>Age</t>
  </si>
  <si>
    <t>Bracket</t>
  </si>
  <si>
    <t>Base Prem (AED)</t>
  </si>
  <si>
    <t>Maternity (AED)</t>
  </si>
  <si>
    <t>-</t>
  </si>
  <si>
    <t>TOTALS</t>
  </si>
  <si>
    <t>17 members</t>
  </si>
  <si>
    <t>Note: Yellow rows = maternity premium applies. Suhana Ahmed (row 14) is female + married but age 54 exceeds the limit of 46 — so NO maternity. Anis Ahmed (row 13) is 66 — above bracket 11 but still gets 60-64 bracket rate (AED 24,628).</t>
  </si>
  <si>
    <t>KEY RULES — Quick Reference for Automation</t>
  </si>
  <si>
    <t>Rule</t>
  </si>
  <si>
    <t>R1</t>
  </si>
  <si>
    <t>Age Method (ALB)</t>
  </si>
  <si>
    <t>Use DATEDIF(DOB, InceptionDate, Y). Never round up. Age 41yr 11mo = 41. This is the standard UAE convention.</t>
  </si>
  <si>
    <t>R2</t>
  </si>
  <si>
    <t>Plan Sets Brackets</t>
  </si>
  <si>
    <t>Dubai (DXB): 12 brackets. Abu Dhabi (AUH): 5 brackets. Same age → different bracket depending on plan.</t>
  </si>
  <si>
    <t>R3</t>
  </si>
  <si>
    <t>Rate Column = Cat + Gender + Rel</t>
  </si>
  <si>
    <t>Build 3-part code e.g. AFD = Category A + Female + Dependent. Look up its column # (2-13) for the VLOOKUP offset.</t>
  </si>
  <si>
    <t>R4</t>
  </si>
  <si>
    <t>Maternity: All 4 Conditions</t>
  </si>
  <si>
    <t>Female AND Married AND Age &gt; 17 AND Age &lt; Limit (46 DXB / 51 AUH). Any single fail = AED 0.</t>
  </si>
  <si>
    <t>R5</t>
  </si>
  <si>
    <t>Maternity Amount by Category</t>
  </si>
  <si>
    <t>Category A = AED 5,244. Other categories look up amount via HLOOKUP from row 1-2 cols W-AA.</t>
  </si>
  <si>
    <t>R6</t>
  </si>
  <si>
    <t>BASMAH is Per-Member</t>
  </si>
  <si>
    <t>AED 37 x total member count. DHA regulatory fee. Applied regardless of category or age.</t>
  </si>
  <si>
    <t>R7</t>
  </si>
  <si>
    <t>VAT Applied Last</t>
  </si>
  <si>
    <t>5% on (Net Premium + BASMAH + Slash). NOT on each component separately.</t>
  </si>
  <si>
    <t>R8</t>
  </si>
  <si>
    <t>Variance Check is Mandatory</t>
  </si>
  <si>
    <t>Computed total must match confirmed premium in signed TOB exactly. AED 0 tolerance. Mismatch = halt pipeline.</t>
  </si>
  <si>
    <t>FORMULA REFERENCE — All Calculation Columns in 'Final premium per member' Sheet</t>
  </si>
  <si>
    <t>Col</t>
  </si>
  <si>
    <t>Column Name</t>
  </si>
  <si>
    <t>Output / Description</t>
  </si>
  <si>
    <t>J</t>
  </si>
  <si>
    <t>Text code: AME, AFD, BFE etc.</t>
  </si>
  <si>
    <t>K</t>
  </si>
  <si>
    <t>Integer 2-13 — column offset in rate table</t>
  </si>
  <si>
    <t>L</t>
  </si>
  <si>
    <t>Integer age in complete years at inception</t>
  </si>
  <si>
    <t>Text label e.g. '41 - 45'</t>
  </si>
  <si>
    <t>N</t>
  </si>
  <si>
    <t>Integer 1-12 — row index into rate table</t>
  </si>
  <si>
    <t>O</t>
  </si>
  <si>
    <t>AED annual base premium from rate table</t>
  </si>
  <si>
    <t>P</t>
  </si>
  <si>
    <t>46 for Dubai, 51 for Abu Dhabi</t>
  </si>
  <si>
    <t>Q</t>
  </si>
  <si>
    <t>AED 5,244 if eligible, else 0</t>
  </si>
  <si>
    <t>R</t>
  </si>
  <si>
    <t>Annual total per member = Base + Maternity</t>
  </si>
  <si>
    <t>Calculation Explainer  |  Source: Final premium per member, Premium Table, Approved Quote  |  Reference: MGH LOGISTICS L.L.C  |  All amounts in AED</t>
  </si>
  <si>
    <t>Operations Manager</t>
  </si>
  <si>
    <t>subpolicies</t>
  </si>
  <si>
    <t>Fields: subpolicy_id (PK),policy_id (PK), company_id (FK), policy_no, inception_date, expiry_date, insurer, type, confirmed_premium, member_count, rm_id</t>
  </si>
  <si>
    <t>Web app (React/Next.js) OR Slack slash command (/newpolicy) OR Microsoft Teams bot — Admin uploads files and triggers workflow here</t>
  </si>
  <si>
    <t>Admin opens app/bot, uploads Signed TOB (PDF) + Census (Excel/CSV). Provides: Client Name, Inception Date, RM Name, Policy Type (New/Renewal).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</si>
</sst>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4" formatCode="_(&quot;AED&quot;* #,##0.00_);_(&quot;AED&quot;* \(#,##0.00\);_(&quot;AED&quot;* &quot;-&quot;??_);_(@_)"/>
    <numFmt numFmtId="43" formatCode="_(* #,##0.00_);_(* \(#,##0.00\);_(* &quot;-&quot;??_);_(@_)"/>
    <numFmt numFmtId="164" formatCode="0.0%"/>
    <numFmt numFmtId="165" formatCode="&quot;AED&quot;\ #,##0.00"/>
    <numFmt numFmtId="166" formatCode="[$]dd\-mmm\-yyyy;@"/>
    <numFmt numFmtId="167" formatCode="&quot;AED&quot;\ #,##0"/>
    <numFmt numFmtId="168" formatCode="_-[$$-409]* #,##0.00_ ;_-[$$-409]* \-#,##0.00\ ;_-[$$-409]* &quot;-&quot;??_ ;_-@_ "/>
    <numFmt numFmtId="169" formatCode="[$AED]\ #,##0.00"/>
    <numFmt numFmtId="170" formatCode="_(* #,##0.0_);_(* \(#,##0.0\);_(* &quot;-&quot;??_);_(@_)"/>
    <numFmt numFmtId="171" formatCode="\ @\ "/>
    <numFmt numFmtId="172" formatCode="_(* #,##0_);_(* \(#,##0\);_(* &quot;-&quot;??_);_(@_)"/>
    <numFmt numFmtId="173" formatCode="&quot;AED&quot;#,##0"/>
    <numFmt numFmtId="174" formatCode="dd/mm/yy;@"/>
    <numFmt numFmtId="175" formatCode="[$-809]dd\ mmmm\ yyyy;@"/>
    <numFmt numFmtId="176" formatCode="[$AED]\ #,##0"/>
    <numFmt numFmtId="177" formatCode="0.0"/>
    <numFmt numFmtId="178" formatCode="d\ mmmm\ yyyy"/>
    <numFmt numFmtId="179" formatCode="d\ mmm\ yyyy"/>
    <numFmt numFmtId="180" formatCode="#,##0.00;\-#,##0.00;;@"/>
    <numFmt numFmtId="181" formatCode="0;\-0;;@"/>
    <numFmt numFmtId="182" formatCode="#,##0;\-#,##0;;@"/>
    <numFmt numFmtId="183" formatCode="&quot;AED&quot;\ #,##0.00_);\(&quot;AED&quot;#,##0.00\)"/>
  </numFmts>
  <fonts count="92">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2"/>
      <color theme="1"/>
      <name val="Avenir Roman"/>
    </font>
    <font>
      <sz val="12"/>
      <color theme="1"/>
      <name val="Avenir Roman"/>
    </font>
    <font>
      <i/>
      <sz val="12"/>
      <color rgb="FFFF0000"/>
      <name val="Avenir Roman"/>
    </font>
    <font>
      <sz val="12"/>
      <name val="Avenir Roman"/>
    </font>
    <font>
      <b/>
      <u/>
      <sz val="12"/>
      <name val="Avenir Roman"/>
    </font>
    <font>
      <b/>
      <sz val="12"/>
      <name val="Avenir Roman"/>
    </font>
    <font>
      <sz val="11"/>
      <color theme="1"/>
      <name val="Calibri"/>
      <family val="2"/>
    </font>
    <font>
      <sz val="11"/>
      <name val="Tahoma"/>
      <family val="2"/>
    </font>
    <font>
      <sz val="11"/>
      <color theme="1"/>
      <name val="Tahoma"/>
      <family val="2"/>
    </font>
    <font>
      <b/>
      <sz val="11"/>
      <color theme="1"/>
      <name val="Tahoma"/>
      <family val="2"/>
    </font>
    <font>
      <b/>
      <sz val="11"/>
      <name val="Tahoma"/>
      <family val="2"/>
    </font>
    <font>
      <i/>
      <sz val="11"/>
      <color theme="1"/>
      <name val="Tahoma"/>
      <family val="2"/>
    </font>
    <font>
      <sz val="10"/>
      <name val="Arial"/>
      <family val="2"/>
    </font>
    <font>
      <b/>
      <sz val="18"/>
      <color theme="0"/>
      <name val="Calibri"/>
      <family val="2"/>
      <scheme val="minor"/>
    </font>
    <font>
      <b/>
      <sz val="18"/>
      <color indexed="9"/>
      <name val="Calibri"/>
      <family val="2"/>
      <scheme val="minor"/>
    </font>
    <font>
      <b/>
      <sz val="11"/>
      <color theme="1"/>
      <name val="Calibri"/>
      <family val="2"/>
      <scheme val="minor"/>
    </font>
    <font>
      <sz val="10"/>
      <color rgb="FF000000"/>
      <name val="Times New Roman"/>
      <family val="1"/>
    </font>
    <font>
      <b/>
      <sz val="11"/>
      <color theme="1"/>
      <name val="Avenir Roman"/>
    </font>
    <font>
      <sz val="11"/>
      <color theme="1"/>
      <name val="Avenir Roman"/>
    </font>
    <font>
      <i/>
      <sz val="10"/>
      <name val="Avenir Roman"/>
    </font>
    <font>
      <b/>
      <sz val="12"/>
      <color indexed="9"/>
      <name val="Calibri"/>
      <family val="2"/>
      <scheme val="minor"/>
    </font>
    <font>
      <i/>
      <sz val="12"/>
      <color rgb="FFFF0000"/>
      <name val="Calibri"/>
      <family val="2"/>
      <scheme val="minor"/>
    </font>
    <font>
      <u/>
      <sz val="11"/>
      <color theme="10"/>
      <name val="Calibri"/>
      <family val="2"/>
      <scheme val="minor"/>
    </font>
    <font>
      <b/>
      <sz val="18"/>
      <color rgb="FFFFFFFF"/>
      <name val="Calibri"/>
      <family val="2"/>
      <scheme val="minor"/>
    </font>
    <font>
      <b/>
      <sz val="18"/>
      <name val="Calibri"/>
      <family val="2"/>
      <scheme val="minor"/>
    </font>
    <font>
      <b/>
      <sz val="20"/>
      <color theme="1"/>
      <name val="Calibri"/>
      <family val="2"/>
      <scheme val="minor"/>
    </font>
    <font>
      <sz val="8"/>
      <name val="Calibri"/>
      <family val="2"/>
      <scheme val="minor"/>
    </font>
    <font>
      <b/>
      <sz val="14"/>
      <color indexed="9"/>
      <name val="Calibri"/>
      <family val="2"/>
      <scheme val="minor"/>
    </font>
    <font>
      <b/>
      <sz val="14"/>
      <color theme="1"/>
      <name val="Calibri"/>
      <family val="2"/>
      <scheme val="minor"/>
    </font>
    <font>
      <i/>
      <sz val="11"/>
      <color rgb="FFFF0000"/>
      <name val="Tahoma"/>
      <family val="2"/>
    </font>
    <font>
      <sz val="11"/>
      <color rgb="FF000000"/>
      <name val="Calibri"/>
      <family val="2"/>
      <scheme val="minor"/>
    </font>
    <font>
      <sz val="11"/>
      <color rgb="FF212121"/>
      <name val="Calibri"/>
      <family val="2"/>
      <scheme val="minor"/>
    </font>
    <font>
      <b/>
      <sz val="11"/>
      <color rgb="FF000000"/>
      <name val="Calibri"/>
      <family val="2"/>
      <scheme val="minor"/>
    </font>
    <font>
      <sz val="10"/>
      <color rgb="FF000000"/>
      <name val="Calibri"/>
      <family val="2"/>
      <scheme val="minor"/>
    </font>
    <font>
      <sz val="11"/>
      <color rgb="FF002060"/>
      <name val="Calibri"/>
      <family val="2"/>
      <scheme val="minor"/>
    </font>
    <font>
      <sz val="7"/>
      <color rgb="FF000000"/>
      <name val="Times New Roman"/>
      <family val="1"/>
    </font>
    <font>
      <b/>
      <sz val="11"/>
      <color rgb="FF212121"/>
      <name val="Calibri"/>
      <family val="2"/>
      <scheme val="minor"/>
    </font>
    <font>
      <sz val="11"/>
      <color rgb="FF212121"/>
      <name val="Aptos"/>
      <family val="2"/>
    </font>
    <font>
      <sz val="11"/>
      <color rgb="FF000000"/>
      <name val="Helvetica"/>
      <family val="2"/>
    </font>
    <font>
      <b/>
      <sz val="11"/>
      <color rgb="FF000000"/>
      <name val="Helvetica"/>
      <family val="2"/>
    </font>
    <font>
      <sz val="11"/>
      <color theme="1"/>
      <name val="Helvetica"/>
      <family val="2"/>
    </font>
    <font>
      <sz val="9"/>
      <name val="Avenir Roman"/>
    </font>
    <font>
      <b/>
      <u/>
      <sz val="11"/>
      <color theme="1"/>
      <name val="Tahoma"/>
      <family val="2"/>
    </font>
    <font>
      <b/>
      <sz val="10"/>
      <color rgb="FF000000"/>
      <name val="Tahoma"/>
      <family val="2"/>
    </font>
    <font>
      <sz val="10"/>
      <color rgb="FF000000"/>
      <name val="Tahoma"/>
      <family val="2"/>
    </font>
    <font>
      <sz val="12"/>
      <color rgb="FFC00000"/>
      <name val="Calibri"/>
      <family val="2"/>
    </font>
    <font>
      <sz val="12"/>
      <color rgb="FF000000"/>
      <name val="Calibri"/>
      <family val="2"/>
    </font>
    <font>
      <sz val="12"/>
      <color rgb="FF000000"/>
      <name val="Times New Roman"/>
      <family val="1"/>
    </font>
    <font>
      <sz val="12"/>
      <color rgb="FF212121"/>
      <name val="Calibri"/>
      <family val="2"/>
    </font>
    <font>
      <sz val="11"/>
      <color rgb="FF000000"/>
      <name val="Calibri"/>
      <family val="2"/>
    </font>
    <font>
      <b/>
      <sz val="14"/>
      <name val="Calibri"/>
      <family val="2"/>
      <scheme val="minor"/>
    </font>
    <font>
      <b/>
      <sz val="12"/>
      <name val="Helvetica"/>
      <family val="2"/>
    </font>
    <font>
      <u/>
      <sz val="12"/>
      <name val="Helvetica"/>
      <family val="2"/>
    </font>
    <font>
      <sz val="12"/>
      <name val="Helvetica"/>
      <family val="2"/>
    </font>
    <font>
      <b/>
      <sz val="11"/>
      <name val="Helvetica"/>
      <family val="2"/>
    </font>
    <font>
      <sz val="10"/>
      <color theme="1"/>
      <name val="Helvetica"/>
      <family val="2"/>
    </font>
    <font>
      <u/>
      <sz val="10"/>
      <name val="Helvetica"/>
      <family val="2"/>
    </font>
    <font>
      <sz val="12"/>
      <color theme="1"/>
      <name val="Helvetica"/>
      <family val="2"/>
    </font>
    <font>
      <u/>
      <sz val="11"/>
      <name val="Helvetica"/>
      <family val="2"/>
    </font>
    <font>
      <sz val="11"/>
      <name val="Helvetica"/>
      <family val="2"/>
    </font>
    <font>
      <b/>
      <sz val="10"/>
      <color theme="0"/>
      <name val="Helvetica"/>
      <family val="2"/>
    </font>
    <font>
      <b/>
      <u/>
      <sz val="14"/>
      <color theme="1"/>
      <name val="Helvetica"/>
      <family val="2"/>
    </font>
    <font>
      <sz val="14"/>
      <color theme="1"/>
      <name val="Helvetica"/>
      <family val="2"/>
    </font>
    <font>
      <b/>
      <sz val="12"/>
      <color theme="1"/>
      <name val="Helvetica"/>
      <family val="2"/>
    </font>
    <font>
      <sz val="10"/>
      <color rgb="FF43BCA0"/>
      <name val="Helvetica"/>
      <family val="2"/>
    </font>
    <font>
      <i/>
      <sz val="12"/>
      <color rgb="FF00B050"/>
      <name val="Helvetica"/>
      <family val="2"/>
    </font>
    <font>
      <b/>
      <sz val="12"/>
      <color theme="0"/>
      <name val="Helvetica"/>
      <family val="2"/>
    </font>
    <font>
      <b/>
      <u/>
      <sz val="12"/>
      <color theme="1"/>
      <name val="Helvetica"/>
      <family val="2"/>
    </font>
    <font>
      <b/>
      <sz val="10"/>
      <color theme="1"/>
      <name val="Helvetica"/>
      <family val="2"/>
    </font>
    <font>
      <b/>
      <sz val="10"/>
      <color rgb="FFFF0000"/>
      <name val="Helvetica"/>
      <family val="2"/>
    </font>
    <font>
      <sz val="10"/>
      <color theme="0"/>
      <name val="Helvetica"/>
      <family val="2"/>
    </font>
    <font>
      <i/>
      <sz val="7.5"/>
      <color rgb="FFFF0000"/>
      <name val="Helvetica"/>
      <family val="2"/>
    </font>
    <font>
      <b/>
      <i/>
      <sz val="8"/>
      <color rgb="FFFF0000"/>
      <name val="Helvetica"/>
      <family val="2"/>
    </font>
    <font>
      <b/>
      <sz val="10"/>
      <color rgb="FF43BCA0"/>
      <name val="Helvetica"/>
      <family val="2"/>
    </font>
    <font>
      <b/>
      <sz val="10"/>
      <color theme="1"/>
      <name val="Calibri"/>
      <family val="2"/>
      <scheme val="minor"/>
    </font>
    <font>
      <sz val="10"/>
      <color theme="1"/>
      <name val="Calibri"/>
      <family val="2"/>
      <scheme val="minor"/>
    </font>
    <font>
      <b/>
      <sz val="11"/>
      <color rgb="FFFFFFFF"/>
      <name val="Calibri"/>
      <family val="2"/>
      <scheme val="minor"/>
    </font>
    <font>
      <b/>
      <sz val="13"/>
      <color rgb="FFFFFFFF"/>
      <name val="Calibri"/>
      <family val="2"/>
      <scheme val="minor"/>
    </font>
    <font>
      <b/>
      <sz val="10"/>
      <color rgb="FF1F3864"/>
      <name val="Calibri"/>
      <family val="2"/>
      <scheme val="minor"/>
    </font>
    <font>
      <b/>
      <sz val="10"/>
      <color rgb="FFFFFFFF"/>
      <name val="Calibri"/>
      <family val="2"/>
      <scheme val="minor"/>
    </font>
    <font>
      <b/>
      <sz val="10"/>
      <color rgb="FFC00000"/>
      <name val="Calibri"/>
      <family val="2"/>
      <scheme val="minor"/>
    </font>
    <font>
      <b/>
      <sz val="10"/>
      <color rgb="FF0070C0"/>
      <name val="Calibri"/>
      <family val="2"/>
      <scheme val="minor"/>
    </font>
    <font>
      <b/>
      <sz val="10"/>
      <color rgb="FF7F6000"/>
      <name val="Calibri"/>
      <family val="2"/>
      <scheme val="minor"/>
    </font>
    <font>
      <sz val="9"/>
      <color rgb="FFFFFFFF"/>
      <name val="Calibri"/>
      <family val="2"/>
      <scheme val="minor"/>
    </font>
    <font>
      <b/>
      <sz val="14"/>
      <color rgb="FFFFFFFF"/>
      <name val="Calibri"/>
      <family val="2"/>
      <scheme val="minor"/>
    </font>
    <font>
      <i/>
      <sz val="10"/>
      <color theme="1"/>
      <name val="Calibri"/>
      <family val="2"/>
      <scheme val="minor"/>
    </font>
    <font>
      <b/>
      <sz val="10"/>
      <color rgb="FF0000FF"/>
      <name val="Calibri"/>
      <family val="2"/>
      <scheme val="minor"/>
    </font>
    <font>
      <b/>
      <sz val="10"/>
      <color rgb="FF375623"/>
      <name val="Calibri"/>
      <family val="2"/>
      <scheme val="minor"/>
    </font>
  </fonts>
  <fills count="30">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rgb="FFFF0000"/>
        <bgColor rgb="FF000000"/>
      </patternFill>
    </fill>
    <fill>
      <patternFill patternType="solid">
        <fgColor rgb="FFFFFF00"/>
        <bgColor rgb="FF000000"/>
      </patternFill>
    </fill>
    <fill>
      <patternFill patternType="solid">
        <fgColor theme="9" tint="0.79998168889431442"/>
        <bgColor indexed="64"/>
      </patternFill>
    </fill>
    <fill>
      <patternFill patternType="solid">
        <fgColor rgb="FFECF8F5"/>
        <bgColor indexed="64"/>
      </patternFill>
    </fill>
    <fill>
      <patternFill patternType="solid">
        <fgColor rgb="FF43BCA0"/>
        <bgColor indexed="64"/>
      </patternFill>
    </fill>
    <fill>
      <patternFill patternType="solid">
        <fgColor theme="0" tint="-0.34998626667073579"/>
        <bgColor rgb="FF000000"/>
      </patternFill>
    </fill>
    <fill>
      <patternFill patternType="solid">
        <fgColor rgb="FF1F3864"/>
        <bgColor indexed="64"/>
      </patternFill>
    </fill>
    <fill>
      <patternFill patternType="solid">
        <fgColor rgb="FFD6E4F0"/>
        <bgColor indexed="64"/>
      </patternFill>
    </fill>
    <fill>
      <patternFill patternType="solid">
        <fgColor rgb="FF2E75B6"/>
        <bgColor indexed="64"/>
      </patternFill>
    </fill>
    <fill>
      <patternFill patternType="solid">
        <fgColor rgb="FFEBF3FB"/>
        <bgColor indexed="64"/>
      </patternFill>
    </fill>
    <fill>
      <patternFill patternType="solid">
        <fgColor rgb="FFFFFFFF"/>
        <bgColor indexed="64"/>
      </patternFill>
    </fill>
    <fill>
      <patternFill patternType="solid">
        <fgColor rgb="FF203864"/>
        <bgColor indexed="64"/>
      </patternFill>
    </fill>
    <fill>
      <patternFill patternType="solid">
        <fgColor rgb="FF5B9BD5"/>
        <bgColor indexed="64"/>
      </patternFill>
    </fill>
    <fill>
      <patternFill patternType="solid">
        <fgColor rgb="FFE2EFDA"/>
        <bgColor indexed="64"/>
      </patternFill>
    </fill>
    <fill>
      <patternFill patternType="solid">
        <fgColor rgb="FFFCE4D6"/>
        <bgColor indexed="64"/>
      </patternFill>
    </fill>
    <fill>
      <patternFill patternType="solid">
        <fgColor rgb="FF1EB980"/>
        <bgColor indexed="64"/>
      </patternFill>
    </fill>
    <fill>
      <patternFill patternType="solid">
        <fgColor rgb="FFFFF2CC"/>
        <bgColor indexed="64"/>
      </patternFill>
    </fill>
    <fill>
      <patternFill patternType="solid">
        <fgColor rgb="FFFFFACD"/>
        <bgColor indexed="64"/>
      </patternFill>
    </fill>
    <fill>
      <patternFill patternType="solid">
        <fgColor rgb="FFFFFDE7"/>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ck">
        <color rgb="FF43BCA0"/>
      </left>
      <right/>
      <top style="thick">
        <color rgb="FF43BCA0"/>
      </top>
      <bottom style="thick">
        <color rgb="FF43BCA0"/>
      </bottom>
      <diagonal/>
    </border>
    <border>
      <left/>
      <right/>
      <top style="thick">
        <color rgb="FF43BCA0"/>
      </top>
      <bottom style="thick">
        <color rgb="FF43BCA0"/>
      </bottom>
      <diagonal/>
    </border>
    <border>
      <left/>
      <right style="thick">
        <color rgb="FF43BCA0"/>
      </right>
      <top style="thick">
        <color rgb="FF43BCA0"/>
      </top>
      <bottom style="thick">
        <color rgb="FF43BCA0"/>
      </bottom>
      <diagonal/>
    </border>
    <border>
      <left/>
      <right/>
      <top style="thick">
        <color rgb="FF43BCA0"/>
      </top>
      <bottom style="thin">
        <color rgb="FF43BCA0"/>
      </bottom>
      <diagonal/>
    </border>
    <border>
      <left/>
      <right style="thin">
        <color rgb="FF43BCA0"/>
      </right>
      <top style="thick">
        <color rgb="FF43BCA0"/>
      </top>
      <bottom style="thin">
        <color rgb="FF43BCA0"/>
      </bottom>
      <diagonal/>
    </border>
    <border>
      <left style="thick">
        <color rgb="FF43BCA0"/>
      </left>
      <right/>
      <top style="thick">
        <color rgb="FF43BCA0"/>
      </top>
      <bottom/>
      <diagonal/>
    </border>
    <border>
      <left/>
      <right/>
      <top style="thick">
        <color rgb="FF43BCA0"/>
      </top>
      <bottom/>
      <diagonal/>
    </border>
    <border>
      <left/>
      <right style="thick">
        <color rgb="FF43BCA0"/>
      </right>
      <top style="thick">
        <color rgb="FF43BCA0"/>
      </top>
      <bottom/>
      <diagonal/>
    </border>
    <border>
      <left style="thick">
        <color rgb="FF43BCA0"/>
      </left>
      <right style="thin">
        <color rgb="FF43BCA0"/>
      </right>
      <top style="thick">
        <color rgb="FF43BCA0"/>
      </top>
      <bottom style="thick">
        <color rgb="FF43BCA0"/>
      </bottom>
      <diagonal/>
    </border>
    <border>
      <left style="thin">
        <color rgb="FF43BCA0"/>
      </left>
      <right style="thick">
        <color rgb="FF43BCA0"/>
      </right>
      <top style="thick">
        <color rgb="FF43BCA0"/>
      </top>
      <bottom style="thick">
        <color rgb="FF43BCA0"/>
      </bottom>
      <diagonal/>
    </border>
    <border>
      <left style="thick">
        <color rgb="FF43BCA0"/>
      </left>
      <right/>
      <top/>
      <bottom style="thin">
        <color rgb="FF43BCA0"/>
      </bottom>
      <diagonal/>
    </border>
    <border>
      <left style="thick">
        <color rgb="FF43BCA0"/>
      </left>
      <right style="thin">
        <color rgb="FF43BCA0"/>
      </right>
      <top/>
      <bottom style="thin">
        <color rgb="FF43BCA0"/>
      </bottom>
      <diagonal/>
    </border>
    <border>
      <left style="thin">
        <color rgb="FF43BCA0"/>
      </left>
      <right style="thick">
        <color rgb="FF43BCA0"/>
      </right>
      <top/>
      <bottom style="thin">
        <color rgb="FF43BCA0"/>
      </bottom>
      <diagonal/>
    </border>
    <border>
      <left style="thick">
        <color rgb="FF43BCA0"/>
      </left>
      <right/>
      <top style="thin">
        <color rgb="FF43BCA0"/>
      </top>
      <bottom style="thin">
        <color rgb="FF43BCA0"/>
      </bottom>
      <diagonal/>
    </border>
    <border>
      <left style="thick">
        <color rgb="FF43BCA0"/>
      </left>
      <right style="thin">
        <color rgb="FF43BCA0"/>
      </right>
      <top style="thin">
        <color rgb="FF43BCA0"/>
      </top>
      <bottom style="thin">
        <color rgb="FF43BCA0"/>
      </bottom>
      <diagonal/>
    </border>
    <border>
      <left style="thin">
        <color rgb="FF43BCA0"/>
      </left>
      <right style="thick">
        <color rgb="FF43BCA0"/>
      </right>
      <top style="thin">
        <color rgb="FF43BCA0"/>
      </top>
      <bottom style="thin">
        <color rgb="FF43BCA0"/>
      </bottom>
      <diagonal/>
    </border>
    <border>
      <left style="thick">
        <color rgb="FF43BCA0"/>
      </left>
      <right/>
      <top style="thin">
        <color rgb="FF43BCA0"/>
      </top>
      <bottom/>
      <diagonal/>
    </border>
    <border>
      <left style="thick">
        <color rgb="FF43BCA0"/>
      </left>
      <right/>
      <top style="thin">
        <color rgb="FF43BCA0"/>
      </top>
      <bottom style="thick">
        <color rgb="FF43BCA0"/>
      </bottom>
      <diagonal/>
    </border>
    <border>
      <left style="thick">
        <color rgb="FF43BCA0"/>
      </left>
      <right style="thin">
        <color rgb="FF43BCA0"/>
      </right>
      <top style="thin">
        <color rgb="FF43BCA0"/>
      </top>
      <bottom style="thick">
        <color rgb="FF43BCA0"/>
      </bottom>
      <diagonal/>
    </border>
    <border>
      <left style="thin">
        <color rgb="FF43BCA0"/>
      </left>
      <right style="thick">
        <color rgb="FF43BCA0"/>
      </right>
      <top style="thin">
        <color rgb="FF43BCA0"/>
      </top>
      <bottom style="thick">
        <color rgb="FF43BCA0"/>
      </bottom>
      <diagonal/>
    </border>
    <border>
      <left style="thin">
        <color theme="0"/>
      </left>
      <right style="thin">
        <color theme="0"/>
      </right>
      <top style="thick">
        <color rgb="FF43BCA0"/>
      </top>
      <bottom style="thin">
        <color theme="0"/>
      </bottom>
      <diagonal/>
    </border>
    <border>
      <left style="thin">
        <color theme="0"/>
      </left>
      <right style="thin">
        <color theme="0"/>
      </right>
      <top/>
      <bottom style="thin">
        <color theme="0"/>
      </bottom>
      <diagonal/>
    </border>
    <border>
      <left style="thin">
        <color rgb="FF43BCA0"/>
      </left>
      <right/>
      <top style="thick">
        <color rgb="FF43BCA0"/>
      </top>
      <bottom/>
      <diagonal/>
    </border>
    <border>
      <left style="thick">
        <color rgb="FF43BCA0"/>
      </left>
      <right/>
      <top/>
      <bottom/>
      <diagonal/>
    </border>
    <border>
      <left style="thin">
        <color rgb="FF43BCA0"/>
      </left>
      <right/>
      <top/>
      <bottom/>
      <diagonal/>
    </border>
    <border>
      <left/>
      <right style="thick">
        <color rgb="FF43BCA0"/>
      </right>
      <top/>
      <bottom/>
      <diagonal/>
    </border>
    <border>
      <left style="thick">
        <color rgb="FF43BCA0"/>
      </left>
      <right/>
      <top/>
      <bottom style="thick">
        <color rgb="FF43BCA0"/>
      </bottom>
      <diagonal/>
    </border>
    <border>
      <left/>
      <right/>
      <top/>
      <bottom style="thick">
        <color rgb="FF43BCA0"/>
      </bottom>
      <diagonal/>
    </border>
    <border>
      <left style="thin">
        <color rgb="FF43BCA0"/>
      </left>
      <right/>
      <top/>
      <bottom style="thick">
        <color rgb="FF43BCA0"/>
      </bottom>
      <diagonal/>
    </border>
    <border>
      <left/>
      <right style="thick">
        <color rgb="FF43BCA0"/>
      </right>
      <top/>
      <bottom style="thick">
        <color rgb="FF43BCA0"/>
      </bottom>
      <diagonal/>
    </border>
  </borders>
  <cellStyleXfs count="9">
    <xf numFmtId="0" fontId="0" fillId="0" borderId="0"/>
    <xf numFmtId="43" fontId="2"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16" fillId="0" borderId="0"/>
    <xf numFmtId="0" fontId="20" fillId="0" borderId="0"/>
    <xf numFmtId="0" fontId="26" fillId="0" borderId="0" applyNumberFormat="0" applyFill="0" applyBorder="0" applyAlignment="0" applyProtection="0"/>
    <xf numFmtId="44" fontId="3" fillId="0" borderId="0" applyFont="0" applyFill="0" applyBorder="0" applyAlignment="0" applyProtection="0"/>
    <xf numFmtId="0" fontId="3" fillId="0" borderId="0"/>
  </cellStyleXfs>
  <cellXfs count="371">
    <xf numFmtId="0" fontId="0" fillId="0" borderId="0" xfId="0"/>
    <xf numFmtId="0" fontId="4" fillId="0" borderId="0" xfId="0" applyFont="1" applyAlignment="1">
      <alignment vertical="center" wrapText="1"/>
    </xf>
    <xf numFmtId="0" fontId="5" fillId="2" borderId="0" xfId="0" applyFont="1" applyFill="1" applyAlignment="1">
      <alignment vertical="center"/>
    </xf>
    <xf numFmtId="0" fontId="5" fillId="0" borderId="0" xfId="0" applyFont="1" applyAlignment="1">
      <alignment vertical="center"/>
    </xf>
    <xf numFmtId="0" fontId="4" fillId="0" borderId="0" xfId="0" applyFont="1" applyAlignment="1">
      <alignment vertical="center"/>
    </xf>
    <xf numFmtId="0" fontId="5" fillId="2" borderId="0" xfId="0" applyFont="1" applyFill="1" applyAlignment="1">
      <alignment horizontal="center" vertical="center"/>
    </xf>
    <xf numFmtId="14" fontId="5" fillId="2" borderId="0" xfId="0" applyNumberFormat="1" applyFont="1" applyFill="1" applyAlignment="1">
      <alignment horizontal="left" vertical="center"/>
    </xf>
    <xf numFmtId="164" fontId="6" fillId="0" borderId="0" xfId="2" applyNumberFormat="1" applyFont="1" applyAlignment="1">
      <alignment horizontal="left" vertical="center"/>
    </xf>
    <xf numFmtId="0" fontId="4" fillId="0" borderId="1" xfId="0" applyFont="1" applyBorder="1" applyAlignment="1">
      <alignment horizontal="center" vertical="center"/>
    </xf>
    <xf numFmtId="0" fontId="7" fillId="0" borderId="0" xfId="0" applyFont="1" applyAlignment="1">
      <alignment horizontal="left" vertical="center"/>
    </xf>
    <xf numFmtId="0" fontId="7" fillId="0" borderId="1" xfId="0" applyFont="1" applyBorder="1" applyAlignment="1">
      <alignment horizontal="center" vertical="center"/>
    </xf>
    <xf numFmtId="16" fontId="7" fillId="0" borderId="1" xfId="0" applyNumberFormat="1" applyFont="1" applyBorder="1" applyAlignment="1">
      <alignment horizontal="center" vertical="center"/>
    </xf>
    <xf numFmtId="0" fontId="7" fillId="0" borderId="1" xfId="0" applyFont="1" applyBorder="1" applyAlignment="1">
      <alignment vertical="center"/>
    </xf>
    <xf numFmtId="0" fontId="7" fillId="0" borderId="0" xfId="0" applyFont="1" applyAlignment="1">
      <alignment vertical="center"/>
    </xf>
    <xf numFmtId="0" fontId="8" fillId="0" borderId="0" xfId="0" applyFont="1" applyAlignment="1">
      <alignment horizontal="left" vertical="center"/>
    </xf>
    <xf numFmtId="0" fontId="9" fillId="0" borderId="0" xfId="0" applyFont="1" applyAlignment="1">
      <alignment horizontal="left" vertical="center"/>
    </xf>
    <xf numFmtId="0" fontId="7" fillId="0" borderId="0" xfId="0" applyFont="1" applyAlignment="1">
      <alignment vertical="center" wrapText="1"/>
    </xf>
    <xf numFmtId="0" fontId="12" fillId="0" borderId="1" xfId="0" applyFont="1" applyBorder="1" applyAlignment="1">
      <alignment horizontal="center" vertical="center"/>
    </xf>
    <xf numFmtId="1" fontId="13" fillId="0" borderId="0" xfId="0" applyNumberFormat="1" applyFont="1" applyAlignment="1">
      <alignment horizontal="center" vertical="center"/>
    </xf>
    <xf numFmtId="1" fontId="12" fillId="0" borderId="0" xfId="0" applyNumberFormat="1" applyFont="1" applyAlignment="1">
      <alignment horizontal="center" vertical="center"/>
    </xf>
    <xf numFmtId="0" fontId="12" fillId="0" borderId="0" xfId="0" applyFont="1" applyAlignment="1">
      <alignment vertical="center"/>
    </xf>
    <xf numFmtId="10" fontId="12" fillId="0" borderId="0" xfId="0" applyNumberFormat="1" applyFont="1" applyAlignment="1">
      <alignment vertical="center"/>
    </xf>
    <xf numFmtId="49" fontId="13" fillId="0" borderId="1" xfId="0" applyNumberFormat="1" applyFont="1" applyBorder="1" applyAlignment="1">
      <alignment horizontal="center" vertical="center"/>
    </xf>
    <xf numFmtId="165" fontId="12" fillId="0" borderId="1" xfId="0" applyNumberFormat="1" applyFont="1" applyBorder="1" applyAlignment="1">
      <alignment horizontal="center" vertical="center"/>
    </xf>
    <xf numFmtId="0" fontId="15" fillId="0" borderId="0" xfId="0" applyFont="1" applyAlignment="1">
      <alignment vertical="center"/>
    </xf>
    <xf numFmtId="0" fontId="13" fillId="0" borderId="1" xfId="0" applyFont="1" applyBorder="1" applyAlignment="1">
      <alignment horizontal="center" vertical="center"/>
    </xf>
    <xf numFmtId="166" fontId="13" fillId="0" borderId="1" xfId="0" applyNumberFormat="1" applyFont="1" applyBorder="1" applyAlignment="1">
      <alignment horizontal="center" vertical="center"/>
    </xf>
    <xf numFmtId="1" fontId="12" fillId="0" borderId="0" xfId="0" applyNumberFormat="1" applyFont="1" applyAlignment="1">
      <alignment horizontal="center"/>
    </xf>
    <xf numFmtId="0" fontId="12" fillId="0" borderId="0" xfId="0" applyFont="1"/>
    <xf numFmtId="10" fontId="12" fillId="0" borderId="0" xfId="0" applyNumberFormat="1" applyFont="1"/>
    <xf numFmtId="166" fontId="12" fillId="0" borderId="1" xfId="0" applyNumberFormat="1" applyFont="1" applyBorder="1" applyAlignment="1">
      <alignment horizontal="center" vertical="center"/>
    </xf>
    <xf numFmtId="0" fontId="13" fillId="0" borderId="0" xfId="0" applyFont="1" applyAlignment="1">
      <alignment horizontal="center" vertical="center"/>
    </xf>
    <xf numFmtId="165" fontId="12" fillId="0" borderId="0" xfId="0" applyNumberFormat="1" applyFont="1" applyAlignment="1">
      <alignment horizontal="center" vertical="center"/>
    </xf>
    <xf numFmtId="166" fontId="13" fillId="0" borderId="0" xfId="0" applyNumberFormat="1" applyFont="1" applyAlignment="1">
      <alignment horizontal="center" vertical="center"/>
    </xf>
    <xf numFmtId="0" fontId="13" fillId="0" borderId="4" xfId="0" applyFont="1" applyBorder="1" applyAlignment="1">
      <alignment horizontal="center" vertical="center"/>
    </xf>
    <xf numFmtId="10" fontId="12" fillId="0" borderId="1" xfId="2" applyNumberFormat="1" applyFont="1" applyBorder="1" applyAlignment="1">
      <alignment horizontal="center" vertical="center"/>
    </xf>
    <xf numFmtId="167" fontId="12" fillId="0" borderId="1" xfId="0" applyNumberFormat="1" applyFont="1" applyBorder="1" applyAlignment="1">
      <alignment horizontal="center" vertical="center"/>
    </xf>
    <xf numFmtId="1" fontId="12" fillId="0" borderId="1" xfId="0" applyNumberFormat="1" applyFont="1" applyBorder="1" applyAlignment="1">
      <alignment horizontal="center" vertical="center"/>
    </xf>
    <xf numFmtId="10" fontId="13" fillId="0" borderId="1" xfId="0" applyNumberFormat="1" applyFont="1" applyBorder="1" applyAlignment="1">
      <alignment horizontal="center" vertical="center"/>
    </xf>
    <xf numFmtId="0" fontId="12" fillId="0" borderId="0" xfId="0" applyFont="1" applyAlignment="1">
      <alignment horizontal="center" vertical="center"/>
    </xf>
    <xf numFmtId="0" fontId="13" fillId="0" borderId="4" xfId="0" applyFont="1" applyBorder="1" applyAlignment="1">
      <alignment horizontal="left"/>
    </xf>
    <xf numFmtId="0" fontId="13" fillId="3" borderId="1" xfId="0" applyFont="1" applyFill="1" applyBorder="1" applyAlignment="1">
      <alignment horizontal="center" vertical="center" wrapText="1"/>
    </xf>
    <xf numFmtId="1" fontId="13" fillId="4" borderId="5" xfId="0" applyNumberFormat="1" applyFont="1" applyFill="1" applyBorder="1" applyAlignment="1">
      <alignment horizontal="center" vertical="center" wrapText="1"/>
    </xf>
    <xf numFmtId="49" fontId="13" fillId="4" borderId="5" xfId="0" applyNumberFormat="1" applyFont="1" applyFill="1" applyBorder="1" applyAlignment="1">
      <alignment horizontal="center" vertical="center" wrapText="1"/>
    </xf>
    <xf numFmtId="0" fontId="13" fillId="4" borderId="5" xfId="0" applyFont="1" applyFill="1" applyBorder="1" applyAlignment="1">
      <alignment horizontal="center" vertical="center" wrapText="1"/>
    </xf>
    <xf numFmtId="10" fontId="13" fillId="4" borderId="5" xfId="0" applyNumberFormat="1" applyFont="1" applyFill="1" applyBorder="1" applyAlignment="1">
      <alignment horizontal="center" vertical="center" wrapText="1"/>
    </xf>
    <xf numFmtId="0" fontId="13" fillId="0" borderId="0" xfId="0" applyFont="1" applyAlignment="1">
      <alignment vertical="top" wrapText="1"/>
    </xf>
    <xf numFmtId="170" fontId="12" fillId="0" borderId="0" xfId="3" applyNumberFormat="1" applyFont="1"/>
    <xf numFmtId="10" fontId="12" fillId="6" borderId="1" xfId="0" applyNumberFormat="1" applyFont="1" applyFill="1" applyBorder="1" applyAlignment="1">
      <alignment horizontal="center" vertical="center"/>
    </xf>
    <xf numFmtId="169" fontId="12" fillId="0" borderId="1" xfId="0" applyNumberFormat="1" applyFont="1" applyBorder="1" applyAlignment="1">
      <alignment horizontal="center" vertical="center"/>
    </xf>
    <xf numFmtId="0" fontId="17" fillId="8" borderId="1" xfId="0" applyFont="1" applyFill="1" applyBorder="1" applyAlignment="1" applyProtection="1">
      <alignment horizontal="center" vertical="center" wrapText="1"/>
      <protection hidden="1"/>
    </xf>
    <xf numFmtId="172" fontId="0" fillId="9" borderId="1" xfId="3" applyNumberFormat="1" applyFont="1" applyFill="1" applyBorder="1" applyAlignment="1" applyProtection="1">
      <alignment horizontal="center" vertical="center" wrapText="1"/>
      <protection hidden="1"/>
    </xf>
    <xf numFmtId="37" fontId="0" fillId="0" borderId="1" xfId="3" applyNumberFormat="1" applyFont="1" applyFill="1" applyBorder="1" applyAlignment="1" applyProtection="1">
      <alignment horizontal="center" vertical="center" wrapText="1"/>
      <protection hidden="1"/>
    </xf>
    <xf numFmtId="173" fontId="5" fillId="2" borderId="0" xfId="0" applyNumberFormat="1" applyFont="1" applyFill="1" applyAlignment="1">
      <alignment horizontal="center" vertical="center"/>
    </xf>
    <xf numFmtId="0" fontId="21" fillId="0" borderId="1" xfId="0" applyFont="1" applyBorder="1" applyAlignment="1">
      <alignment vertical="center"/>
    </xf>
    <xf numFmtId="0" fontId="23" fillId="0" borderId="1" xfId="0" applyFont="1" applyBorder="1" applyAlignment="1">
      <alignment vertical="center"/>
    </xf>
    <xf numFmtId="0" fontId="0" fillId="0" borderId="0" xfId="0" applyAlignment="1">
      <alignment vertical="center"/>
    </xf>
    <xf numFmtId="174" fontId="10" fillId="0" borderId="1" xfId="0" applyNumberFormat="1" applyFont="1"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37" fontId="0" fillId="10" borderId="1" xfId="3" applyNumberFormat="1" applyFont="1" applyFill="1" applyBorder="1" applyAlignment="1" applyProtection="1">
      <alignment horizontal="center" vertical="center" wrapText="1"/>
      <protection hidden="1"/>
    </xf>
    <xf numFmtId="0" fontId="27" fillId="11" borderId="1" xfId="0" applyFont="1" applyFill="1" applyBorder="1" applyAlignment="1" applyProtection="1">
      <alignment horizontal="center" vertical="center" wrapText="1"/>
      <protection hidden="1"/>
    </xf>
    <xf numFmtId="0" fontId="28" fillId="7" borderId="1" xfId="0" applyFont="1" applyFill="1" applyBorder="1" applyAlignment="1" applyProtection="1">
      <alignment horizontal="center" vertical="center" wrapText="1"/>
      <protection hidden="1"/>
    </xf>
    <xf numFmtId="0" fontId="28" fillId="12" borderId="1" xfId="0" applyFont="1" applyFill="1" applyBorder="1" applyAlignment="1" applyProtection="1">
      <alignment horizontal="center" vertical="center" wrapText="1"/>
      <protection hidden="1"/>
    </xf>
    <xf numFmtId="0" fontId="0" fillId="0" borderId="0" xfId="0" applyAlignment="1">
      <alignment horizontal="center"/>
    </xf>
    <xf numFmtId="37" fontId="0" fillId="0" borderId="0" xfId="3" applyNumberFormat="1" applyFont="1" applyFill="1" applyBorder="1" applyAlignment="1" applyProtection="1">
      <alignment horizontal="center" vertical="center" wrapText="1"/>
      <protection hidden="1"/>
    </xf>
    <xf numFmtId="172" fontId="0" fillId="9" borderId="0" xfId="3" applyNumberFormat="1" applyFont="1" applyFill="1" applyBorder="1" applyAlignment="1" applyProtection="1">
      <alignment horizontal="center" vertical="center" wrapText="1"/>
      <protection hidden="1"/>
    </xf>
    <xf numFmtId="172" fontId="0" fillId="5" borderId="0" xfId="3" applyNumberFormat="1" applyFont="1" applyFill="1" applyBorder="1" applyAlignment="1" applyProtection="1">
      <alignment horizontal="center" vertical="center" wrapText="1"/>
      <protection hidden="1"/>
    </xf>
    <xf numFmtId="172" fontId="0" fillId="0" borderId="1" xfId="1" applyNumberFormat="1" applyFont="1" applyBorder="1" applyAlignment="1">
      <alignment horizontal="center"/>
    </xf>
    <xf numFmtId="171" fontId="31" fillId="8" borderId="1" xfId="4" applyNumberFormat="1" applyFont="1" applyFill="1" applyBorder="1" applyAlignment="1" applyProtection="1">
      <alignment horizontal="center" vertical="center" wrapText="1"/>
      <protection hidden="1"/>
    </xf>
    <xf numFmtId="172" fontId="32" fillId="0" borderId="1" xfId="0" applyNumberFormat="1" applyFont="1" applyBorder="1" applyAlignment="1">
      <alignment vertical="center"/>
    </xf>
    <xf numFmtId="167" fontId="12" fillId="0" borderId="1" xfId="0" applyNumberFormat="1" applyFont="1" applyBorder="1" applyAlignment="1">
      <alignment horizontal="center" vertical="center" wrapText="1"/>
    </xf>
    <xf numFmtId="167" fontId="12" fillId="0" borderId="0" xfId="0" applyNumberFormat="1" applyFont="1"/>
    <xf numFmtId="164" fontId="12" fillId="0" borderId="1" xfId="2" applyNumberFormat="1" applyFont="1" applyBorder="1" applyAlignment="1">
      <alignment horizontal="center" vertical="center"/>
    </xf>
    <xf numFmtId="0" fontId="12" fillId="0" borderId="1" xfId="0" applyFont="1" applyBorder="1" applyAlignment="1">
      <alignment horizontal="center" vertical="center" wrapText="1"/>
    </xf>
    <xf numFmtId="1" fontId="5" fillId="2" borderId="0" xfId="0" applyNumberFormat="1" applyFont="1" applyFill="1" applyAlignment="1">
      <alignment horizontal="center" vertical="center"/>
    </xf>
    <xf numFmtId="0" fontId="34" fillId="0" borderId="0" xfId="0" applyFont="1" applyAlignment="1">
      <alignment vertical="center"/>
    </xf>
    <xf numFmtId="0" fontId="1" fillId="0" borderId="0" xfId="0" applyFont="1" applyAlignment="1">
      <alignment vertical="center"/>
    </xf>
    <xf numFmtId="0" fontId="37" fillId="0" borderId="0" xfId="0" applyFont="1" applyAlignment="1">
      <alignment vertical="center"/>
    </xf>
    <xf numFmtId="0" fontId="34" fillId="0" borderId="0" xfId="0" quotePrefix="1" applyFont="1" applyAlignment="1">
      <alignment vertical="center"/>
    </xf>
    <xf numFmtId="0" fontId="19" fillId="0" borderId="0" xfId="0" applyFont="1"/>
    <xf numFmtId="49" fontId="36" fillId="0" borderId="0" xfId="0" applyNumberFormat="1" applyFont="1" applyAlignment="1">
      <alignment vertical="center"/>
    </xf>
    <xf numFmtId="0" fontId="19" fillId="0" borderId="1" xfId="0" applyFont="1" applyBorder="1"/>
    <xf numFmtId="0" fontId="0" fillId="0" borderId="1" xfId="0" applyBorder="1"/>
    <xf numFmtId="0" fontId="36" fillId="0" borderId="1" xfId="0" applyFont="1" applyBorder="1" applyAlignment="1">
      <alignment vertical="center"/>
    </xf>
    <xf numFmtId="14" fontId="0" fillId="0" borderId="1" xfId="0" applyNumberFormat="1" applyBorder="1" applyAlignment="1">
      <alignment horizontal="left"/>
    </xf>
    <xf numFmtId="49" fontId="36" fillId="0" borderId="1" xfId="0" applyNumberFormat="1" applyFont="1" applyBorder="1" applyAlignment="1">
      <alignment vertical="center"/>
    </xf>
    <xf numFmtId="10" fontId="0" fillId="0" borderId="1" xfId="0" applyNumberFormat="1" applyBorder="1" applyAlignment="1">
      <alignment horizontal="center"/>
    </xf>
    <xf numFmtId="173" fontId="0" fillId="0" borderId="1" xfId="1" applyNumberFormat="1" applyFont="1" applyBorder="1"/>
    <xf numFmtId="173" fontId="0" fillId="0" borderId="1" xfId="0" applyNumberFormat="1" applyBorder="1"/>
    <xf numFmtId="0" fontId="26" fillId="0" borderId="0" xfId="6" applyAlignment="1">
      <alignment vertical="center"/>
    </xf>
    <xf numFmtId="0" fontId="38" fillId="0" borderId="0" xfId="0" applyFont="1" applyAlignment="1">
      <alignment vertical="center"/>
    </xf>
    <xf numFmtId="0" fontId="34" fillId="0" borderId="0" xfId="0" applyFont="1" applyAlignment="1">
      <alignment horizontal="left" vertical="center" indent="6"/>
    </xf>
    <xf numFmtId="0" fontId="40" fillId="0" borderId="1" xfId="0" applyFont="1" applyBorder="1" applyAlignment="1">
      <alignment vertical="center"/>
    </xf>
    <xf numFmtId="0" fontId="41" fillId="0" borderId="0" xfId="0" applyFont="1"/>
    <xf numFmtId="0" fontId="23" fillId="0" borderId="1" xfId="0" applyFont="1" applyBorder="1" applyAlignment="1">
      <alignment vertical="center" wrapText="1"/>
    </xf>
    <xf numFmtId="0" fontId="42" fillId="0" borderId="0" xfId="0" applyFont="1"/>
    <xf numFmtId="0" fontId="43" fillId="0" borderId="0" xfId="0" applyFont="1" applyAlignment="1">
      <alignment horizontal="right"/>
    </xf>
    <xf numFmtId="0" fontId="44" fillId="0" borderId="0" xfId="0" applyFont="1" applyAlignment="1">
      <alignment vertical="center"/>
    </xf>
    <xf numFmtId="175" fontId="44" fillId="0" borderId="0" xfId="0" applyNumberFormat="1" applyFont="1" applyAlignment="1">
      <alignment horizontal="left" vertical="center"/>
    </xf>
    <xf numFmtId="0" fontId="45" fillId="0" borderId="1" xfId="0" applyFont="1" applyBorder="1" applyAlignment="1">
      <alignment vertical="center" wrapText="1"/>
    </xf>
    <xf numFmtId="173" fontId="44" fillId="0" borderId="0" xfId="0" applyNumberFormat="1" applyFont="1" applyAlignment="1">
      <alignment horizontal="left" vertical="center"/>
    </xf>
    <xf numFmtId="172" fontId="0" fillId="0" borderId="1" xfId="1" applyNumberFormat="1" applyFont="1" applyFill="1" applyBorder="1" applyAlignment="1">
      <alignment horizontal="center"/>
    </xf>
    <xf numFmtId="0" fontId="0" fillId="0" borderId="0" xfId="0" applyAlignment="1">
      <alignment horizontal="center" vertical="center"/>
    </xf>
    <xf numFmtId="37" fontId="0" fillId="0" borderId="0" xfId="0" applyNumberFormat="1" applyAlignment="1">
      <alignment horizontal="center" vertical="center"/>
    </xf>
    <xf numFmtId="0" fontId="12" fillId="13" borderId="1" xfId="0" applyFont="1" applyFill="1" applyBorder="1" applyAlignment="1">
      <alignment horizontal="center" vertical="center"/>
    </xf>
    <xf numFmtId="1" fontId="12" fillId="13" borderId="1" xfId="0" applyNumberFormat="1" applyFont="1" applyFill="1" applyBorder="1" applyAlignment="1">
      <alignment horizontal="center" vertical="center"/>
    </xf>
    <xf numFmtId="165" fontId="12" fillId="13" borderId="1" xfId="0" applyNumberFormat="1" applyFont="1" applyFill="1" applyBorder="1" applyAlignment="1">
      <alignment horizontal="center" vertical="center"/>
    </xf>
    <xf numFmtId="10" fontId="12" fillId="13" borderId="1" xfId="0" applyNumberFormat="1" applyFont="1" applyFill="1" applyBorder="1" applyAlignment="1">
      <alignment horizontal="center" vertical="center"/>
    </xf>
    <xf numFmtId="169" fontId="12" fillId="13" borderId="1" xfId="0" applyNumberFormat="1" applyFont="1" applyFill="1" applyBorder="1" applyAlignment="1">
      <alignment horizontal="center" vertical="center"/>
    </xf>
    <xf numFmtId="177" fontId="12" fillId="0" borderId="0" xfId="0" applyNumberFormat="1" applyFont="1"/>
    <xf numFmtId="0" fontId="11" fillId="13" borderId="1" xfId="0" applyFont="1" applyFill="1" applyBorder="1" applyAlignment="1">
      <alignment horizontal="center" vertical="center"/>
    </xf>
    <xf numFmtId="0" fontId="14" fillId="13" borderId="1" xfId="0" applyFont="1" applyFill="1" applyBorder="1" applyAlignment="1">
      <alignment horizontal="center" vertical="center"/>
    </xf>
    <xf numFmtId="0" fontId="13" fillId="0" borderId="1" xfId="0" applyFont="1" applyBorder="1" applyAlignment="1">
      <alignment horizontal="center" vertical="center" wrapText="1"/>
    </xf>
    <xf numFmtId="0" fontId="5" fillId="0" borderId="0" xfId="0" applyFont="1" applyAlignment="1">
      <alignment horizontal="right" vertical="center"/>
    </xf>
    <xf numFmtId="1" fontId="44" fillId="0" borderId="0" xfId="0" applyNumberFormat="1" applyFont="1" applyAlignment="1">
      <alignment horizontal="left" vertical="center"/>
    </xf>
    <xf numFmtId="0" fontId="15" fillId="0" borderId="0" xfId="0" applyFont="1"/>
    <xf numFmtId="174" fontId="25" fillId="0" borderId="0" xfId="0" applyNumberFormat="1" applyFont="1" applyAlignment="1">
      <alignment horizontal="center"/>
    </xf>
    <xf numFmtId="0" fontId="43" fillId="0" borderId="0" xfId="0" applyFont="1" applyAlignment="1">
      <alignment horizontal="right" vertical="center"/>
    </xf>
    <xf numFmtId="10" fontId="44" fillId="0" borderId="0" xfId="0" applyNumberFormat="1" applyFont="1" applyAlignment="1">
      <alignment horizontal="left" vertical="center"/>
    </xf>
    <xf numFmtId="0" fontId="44" fillId="0" borderId="0" xfId="0" applyFont="1" applyAlignment="1">
      <alignment vertical="center" wrapText="1"/>
    </xf>
    <xf numFmtId="3" fontId="5" fillId="0" borderId="0" xfId="0" applyNumberFormat="1" applyFont="1" applyAlignment="1">
      <alignment vertical="center"/>
    </xf>
    <xf numFmtId="3" fontId="7" fillId="0" borderId="0" xfId="0" applyNumberFormat="1" applyFont="1" applyAlignment="1">
      <alignment vertical="center"/>
    </xf>
    <xf numFmtId="173" fontId="5" fillId="0" borderId="0" xfId="0" applyNumberFormat="1" applyFont="1" applyAlignment="1">
      <alignment vertical="center"/>
    </xf>
    <xf numFmtId="164" fontId="12" fillId="0" borderId="0" xfId="2" applyNumberFormat="1" applyFont="1" applyBorder="1" applyAlignment="1">
      <alignment horizontal="center" vertical="center"/>
    </xf>
    <xf numFmtId="43" fontId="12" fillId="0" borderId="0" xfId="1" applyFont="1"/>
    <xf numFmtId="1" fontId="10" fillId="0" borderId="1" xfId="0" applyNumberFormat="1" applyFont="1" applyBorder="1" applyAlignment="1">
      <alignment horizontal="center"/>
    </xf>
    <xf numFmtId="1" fontId="0" fillId="9" borderId="1" xfId="3" applyNumberFormat="1" applyFont="1" applyFill="1" applyBorder="1" applyAlignment="1" applyProtection="1">
      <alignment horizontal="center" wrapText="1"/>
      <protection hidden="1"/>
    </xf>
    <xf numFmtId="0" fontId="46" fillId="0" borderId="0" xfId="0" applyFont="1"/>
    <xf numFmtId="0" fontId="10" fillId="0" borderId="1" xfId="0" applyFont="1" applyBorder="1" applyAlignment="1">
      <alignment horizontal="center" vertical="center"/>
    </xf>
    <xf numFmtId="174" fontId="10" fillId="0" borderId="1" xfId="0" applyNumberFormat="1" applyFont="1" applyBorder="1" applyAlignment="1">
      <alignment horizontal="center" vertical="center"/>
    </xf>
    <xf numFmtId="0" fontId="49" fillId="0" borderId="0" xfId="0" applyFont="1"/>
    <xf numFmtId="0" fontId="50" fillId="0" borderId="0" xfId="0" applyFont="1"/>
    <xf numFmtId="172" fontId="12" fillId="0" borderId="1" xfId="1" applyNumberFormat="1" applyFont="1" applyBorder="1" applyAlignment="1">
      <alignment horizontal="center" vertical="center" wrapText="1"/>
    </xf>
    <xf numFmtId="172" fontId="13" fillId="0" borderId="1" xfId="0" applyNumberFormat="1" applyFont="1" applyBorder="1"/>
    <xf numFmtId="15" fontId="51" fillId="0" borderId="0" xfId="0" applyNumberFormat="1" applyFont="1"/>
    <xf numFmtId="0" fontId="53" fillId="0" borderId="0" xfId="0" applyFont="1"/>
    <xf numFmtId="0" fontId="52" fillId="0" borderId="0" xfId="0" applyFont="1"/>
    <xf numFmtId="171" fontId="31" fillId="8" borderId="0" xfId="4" applyNumberFormat="1" applyFont="1" applyFill="1" applyAlignment="1" applyProtection="1">
      <alignment horizontal="center" vertical="center" wrapText="1"/>
      <protection hidden="1"/>
    </xf>
    <xf numFmtId="172" fontId="32" fillId="0" borderId="0" xfId="0" applyNumberFormat="1" applyFont="1" applyAlignment="1">
      <alignment vertical="center"/>
    </xf>
    <xf numFmtId="171" fontId="54" fillId="0" borderId="1" xfId="4" applyNumberFormat="1" applyFont="1" applyBorder="1" applyAlignment="1" applyProtection="1">
      <alignment horizontal="right" vertical="center" wrapText="1"/>
      <protection hidden="1"/>
    </xf>
    <xf numFmtId="0" fontId="57" fillId="0" borderId="0" xfId="0" applyFont="1" applyAlignment="1">
      <alignment horizontal="left" vertical="center"/>
    </xf>
    <xf numFmtId="37" fontId="58" fillId="0" borderId="0" xfId="0" applyNumberFormat="1" applyFont="1" applyAlignment="1">
      <alignment horizontal="left" vertical="center" indent="1"/>
    </xf>
    <xf numFmtId="0" fontId="59" fillId="0" borderId="0" xfId="0" applyFont="1"/>
    <xf numFmtId="0" fontId="61" fillId="0" borderId="0" xfId="0" applyFont="1"/>
    <xf numFmtId="0" fontId="63" fillId="0" borderId="0" xfId="0" applyFont="1" applyAlignment="1">
      <alignment horizontal="left" vertical="center"/>
    </xf>
    <xf numFmtId="0" fontId="44" fillId="0" borderId="0" xfId="0" applyFont="1"/>
    <xf numFmtId="176" fontId="61" fillId="0" borderId="0" xfId="0" applyNumberFormat="1" applyFont="1"/>
    <xf numFmtId="43" fontId="59" fillId="0" borderId="0" xfId="1" applyFont="1" applyBorder="1"/>
    <xf numFmtId="9" fontId="59" fillId="0" borderId="0" xfId="0" applyNumberFormat="1" applyFont="1"/>
    <xf numFmtId="0" fontId="59" fillId="0" borderId="0" xfId="0" applyFont="1" applyAlignment="1">
      <alignment vertical="center"/>
    </xf>
    <xf numFmtId="0" fontId="64" fillId="0" borderId="0" xfId="0" applyFont="1" applyAlignment="1">
      <alignment horizontal="center" vertical="center"/>
    </xf>
    <xf numFmtId="176" fontId="59" fillId="0" borderId="0" xfId="0" applyNumberFormat="1" applyFont="1"/>
    <xf numFmtId="10" fontId="59" fillId="0" borderId="0" xfId="0" applyNumberFormat="1" applyFont="1"/>
    <xf numFmtId="0" fontId="66" fillId="0" borderId="0" xfId="0" applyFont="1"/>
    <xf numFmtId="3" fontId="66" fillId="0" borderId="0" xfId="0" applyNumberFormat="1" applyFont="1"/>
    <xf numFmtId="9" fontId="66" fillId="0" borderId="0" xfId="0" applyNumberFormat="1" applyFont="1"/>
    <xf numFmtId="3" fontId="61" fillId="0" borderId="0" xfId="0" applyNumberFormat="1" applyFont="1"/>
    <xf numFmtId="172" fontId="61" fillId="0" borderId="0" xfId="1" applyNumberFormat="1" applyFont="1" applyBorder="1"/>
    <xf numFmtId="9" fontId="61" fillId="0" borderId="0" xfId="0" applyNumberFormat="1" applyFont="1"/>
    <xf numFmtId="10" fontId="61" fillId="0" borderId="0" xfId="0" applyNumberFormat="1" applyFont="1"/>
    <xf numFmtId="10" fontId="61" fillId="0" borderId="0" xfId="1" applyNumberFormat="1" applyFont="1" applyBorder="1"/>
    <xf numFmtId="164" fontId="61" fillId="0" borderId="0" xfId="2" applyNumberFormat="1" applyFont="1" applyBorder="1"/>
    <xf numFmtId="43" fontId="61" fillId="0" borderId="0" xfId="1" applyFont="1" applyBorder="1"/>
    <xf numFmtId="0" fontId="69" fillId="0" borderId="0" xfId="0" applyFont="1"/>
    <xf numFmtId="0" fontId="67" fillId="0" borderId="0" xfId="0" applyFont="1"/>
    <xf numFmtId="10" fontId="67" fillId="0" borderId="0" xfId="0" applyNumberFormat="1" applyFont="1"/>
    <xf numFmtId="43" fontId="61" fillId="0" borderId="0" xfId="1" applyFont="1"/>
    <xf numFmtId="0" fontId="70" fillId="0" borderId="0" xfId="0" applyFont="1" applyAlignment="1">
      <alignment horizontal="left" vertical="center" indent="1"/>
    </xf>
    <xf numFmtId="172" fontId="61" fillId="0" borderId="0" xfId="1" applyNumberFormat="1" applyFont="1"/>
    <xf numFmtId="172" fontId="61" fillId="0" borderId="0" xfId="0" applyNumberFormat="1" applyFont="1"/>
    <xf numFmtId="0" fontId="71" fillId="0" borderId="0" xfId="0" applyFont="1" applyAlignment="1">
      <alignment horizontal="left" vertical="center"/>
    </xf>
    <xf numFmtId="0" fontId="59" fillId="0" borderId="0" xfId="0" applyFont="1" applyAlignment="1">
      <alignment vertical="center" wrapText="1"/>
    </xf>
    <xf numFmtId="0" fontId="64" fillId="0" borderId="0" xfId="0" applyFont="1" applyAlignment="1">
      <alignment horizontal="center" vertical="center" wrapText="1"/>
    </xf>
    <xf numFmtId="0" fontId="59" fillId="0" borderId="0" xfId="0" applyFont="1" applyAlignment="1">
      <alignment horizontal="center" vertical="center"/>
    </xf>
    <xf numFmtId="0" fontId="72" fillId="14" borderId="6" xfId="0" applyFont="1" applyFill="1" applyBorder="1" applyAlignment="1">
      <alignment horizontal="center" vertical="center"/>
    </xf>
    <xf numFmtId="0" fontId="72" fillId="14" borderId="14" xfId="0" applyFont="1" applyFill="1" applyBorder="1" applyAlignment="1">
      <alignment horizontal="center" vertical="center"/>
    </xf>
    <xf numFmtId="0" fontId="72" fillId="14" borderId="15" xfId="0" applyFont="1" applyFill="1" applyBorder="1" applyAlignment="1">
      <alignment horizontal="center" vertical="center"/>
    </xf>
    <xf numFmtId="43" fontId="59" fillId="0" borderId="0" xfId="1" applyFont="1" applyAlignment="1">
      <alignment horizontal="center" vertical="center"/>
    </xf>
    <xf numFmtId="4" fontId="59" fillId="0" borderId="0" xfId="0" applyNumberFormat="1" applyFont="1" applyAlignment="1">
      <alignment horizontal="center" vertical="center"/>
    </xf>
    <xf numFmtId="43" fontId="59" fillId="0" borderId="0" xfId="1" applyFont="1"/>
    <xf numFmtId="0" fontId="73" fillId="0" borderId="0" xfId="0" applyFont="1" applyAlignment="1">
      <alignment horizontal="center" vertical="center" wrapText="1"/>
    </xf>
    <xf numFmtId="0" fontId="64" fillId="15" borderId="26" xfId="0" applyFont="1" applyFill="1" applyBorder="1" applyAlignment="1">
      <alignment horizontal="center" vertical="center"/>
    </xf>
    <xf numFmtId="37" fontId="64" fillId="15" borderId="27" xfId="0" applyNumberFormat="1" applyFont="1" applyFill="1" applyBorder="1" applyAlignment="1">
      <alignment horizontal="center" vertical="center"/>
    </xf>
    <xf numFmtId="0" fontId="72" fillId="0" borderId="0" xfId="0" applyFont="1" applyAlignment="1">
      <alignment horizontal="center" vertical="center"/>
    </xf>
    <xf numFmtId="43" fontId="72" fillId="0" borderId="0" xfId="1" applyFont="1" applyAlignment="1">
      <alignment horizontal="center" vertical="center"/>
    </xf>
    <xf numFmtId="0" fontId="74" fillId="0" borderId="26" xfId="0" applyFont="1" applyBorder="1" applyAlignment="1">
      <alignment horizontal="center" vertical="center"/>
    </xf>
    <xf numFmtId="4" fontId="72" fillId="0" borderId="0" xfId="0" applyNumberFormat="1" applyFont="1" applyAlignment="1">
      <alignment horizontal="center" vertical="center"/>
    </xf>
    <xf numFmtId="0" fontId="76" fillId="0" borderId="0" xfId="0" applyFont="1" applyAlignment="1">
      <alignment horizontal="left" vertical="center" indent="1"/>
    </xf>
    <xf numFmtId="43" fontId="59" fillId="0" borderId="0" xfId="0" applyNumberFormat="1" applyFont="1"/>
    <xf numFmtId="37" fontId="77" fillId="0" borderId="0" xfId="0" applyNumberFormat="1" applyFont="1" applyAlignment="1">
      <alignment horizontal="left" vertical="center" indent="1"/>
    </xf>
    <xf numFmtId="0" fontId="76" fillId="0" borderId="0" xfId="0" applyFont="1" applyAlignment="1">
      <alignment horizontal="left" vertical="center"/>
    </xf>
    <xf numFmtId="180" fontId="59" fillId="7" borderId="17" xfId="7" applyNumberFormat="1" applyFont="1" applyFill="1" applyBorder="1" applyAlignment="1">
      <alignment horizontal="center" vertical="center"/>
    </xf>
    <xf numFmtId="181" fontId="59" fillId="7" borderId="18" xfId="0" applyNumberFormat="1" applyFont="1" applyFill="1" applyBorder="1" applyAlignment="1">
      <alignment horizontal="center" vertical="center"/>
    </xf>
    <xf numFmtId="182" fontId="59" fillId="7" borderId="20" xfId="7" applyNumberFormat="1" applyFont="1" applyFill="1" applyBorder="1" applyAlignment="1">
      <alignment horizontal="center" vertical="center"/>
    </xf>
    <xf numFmtId="181" fontId="59" fillId="7" borderId="21" xfId="0" applyNumberFormat="1" applyFont="1" applyFill="1" applyBorder="1" applyAlignment="1">
      <alignment horizontal="center" vertical="center"/>
    </xf>
    <xf numFmtId="182" fontId="59" fillId="7" borderId="24" xfId="7" applyNumberFormat="1" applyFont="1" applyFill="1" applyBorder="1" applyAlignment="1">
      <alignment horizontal="center" vertical="center"/>
    </xf>
    <xf numFmtId="181" fontId="59" fillId="7" borderId="25" xfId="0" applyNumberFormat="1" applyFont="1" applyFill="1" applyBorder="1" applyAlignment="1">
      <alignment horizontal="center" vertical="center"/>
    </xf>
    <xf numFmtId="182" fontId="59" fillId="7" borderId="17" xfId="7" applyNumberFormat="1" applyFont="1" applyFill="1" applyBorder="1" applyAlignment="1">
      <alignment horizontal="center" vertical="center"/>
    </xf>
    <xf numFmtId="0" fontId="59" fillId="7" borderId="0" xfId="0" applyFont="1" applyFill="1"/>
    <xf numFmtId="37" fontId="56" fillId="7" borderId="0" xfId="0" applyNumberFormat="1" applyFont="1" applyFill="1" applyAlignment="1">
      <alignment horizontal="left" vertical="center"/>
    </xf>
    <xf numFmtId="37" fontId="62" fillId="7" borderId="0" xfId="0" applyNumberFormat="1" applyFont="1" applyFill="1" applyAlignment="1">
      <alignment horizontal="left" vertical="center"/>
    </xf>
    <xf numFmtId="0" fontId="57" fillId="7" borderId="0" xfId="0" applyFont="1" applyFill="1" applyAlignment="1">
      <alignment horizontal="left" vertical="center"/>
    </xf>
    <xf numFmtId="0" fontId="63" fillId="7" borderId="0" xfId="0" applyFont="1" applyFill="1" applyAlignment="1">
      <alignment horizontal="left" vertical="center"/>
    </xf>
    <xf numFmtId="37" fontId="5" fillId="2" borderId="0" xfId="0" applyNumberFormat="1" applyFont="1" applyFill="1" applyAlignment="1">
      <alignment vertical="center"/>
    </xf>
    <xf numFmtId="0" fontId="72" fillId="7" borderId="16" xfId="0" applyFont="1" applyFill="1" applyBorder="1" applyAlignment="1">
      <alignment horizontal="center" vertical="center"/>
    </xf>
    <xf numFmtId="0" fontId="72" fillId="7" borderId="19" xfId="0" applyFont="1" applyFill="1" applyBorder="1" applyAlignment="1">
      <alignment horizontal="center" vertical="center"/>
    </xf>
    <xf numFmtId="0" fontId="72" fillId="7" borderId="22" xfId="0" applyFont="1" applyFill="1" applyBorder="1" applyAlignment="1">
      <alignment horizontal="center" vertical="center"/>
    </xf>
    <xf numFmtId="0" fontId="73" fillId="7" borderId="23" xfId="0" applyFont="1" applyFill="1" applyBorder="1" applyAlignment="1">
      <alignment horizontal="center" vertical="center" wrapText="1"/>
    </xf>
    <xf numFmtId="171" fontId="24" fillId="10" borderId="1" xfId="4" applyNumberFormat="1" applyFont="1" applyFill="1" applyBorder="1" applyAlignment="1" applyProtection="1">
      <alignment horizontal="center" vertical="center"/>
      <protection hidden="1"/>
    </xf>
    <xf numFmtId="174" fontId="24" fillId="10" borderId="1" xfId="4" applyNumberFormat="1" applyFont="1" applyFill="1" applyBorder="1" applyAlignment="1" applyProtection="1">
      <alignment horizontal="center" vertical="center" wrapText="1"/>
      <protection hidden="1"/>
    </xf>
    <xf numFmtId="171" fontId="24" fillId="10" borderId="1" xfId="4" applyNumberFormat="1" applyFont="1" applyFill="1" applyBorder="1" applyAlignment="1" applyProtection="1">
      <alignment horizontal="center" vertical="center" wrapText="1"/>
      <protection hidden="1"/>
    </xf>
    <xf numFmtId="171" fontId="31" fillId="10" borderId="1" xfId="4" applyNumberFormat="1" applyFont="1" applyFill="1" applyBorder="1" applyAlignment="1" applyProtection="1">
      <alignment horizontal="center" vertical="center" wrapText="1"/>
      <protection hidden="1"/>
    </xf>
    <xf numFmtId="171" fontId="18" fillId="10" borderId="1" xfId="4" applyNumberFormat="1" applyFont="1" applyFill="1" applyBorder="1" applyAlignment="1" applyProtection="1">
      <alignment horizontal="center" vertical="center" wrapText="1"/>
      <protection hidden="1"/>
    </xf>
    <xf numFmtId="0" fontId="17" fillId="10" borderId="1" xfId="0" applyFont="1" applyFill="1" applyBorder="1" applyAlignment="1" applyProtection="1">
      <alignment horizontal="center" vertical="center" wrapText="1"/>
      <protection hidden="1"/>
    </xf>
    <xf numFmtId="0" fontId="27" fillId="16" borderId="1" xfId="0" applyFont="1" applyFill="1" applyBorder="1" applyAlignment="1" applyProtection="1">
      <alignment horizontal="center" vertical="center" wrapText="1"/>
      <protection hidden="1"/>
    </xf>
    <xf numFmtId="10" fontId="5" fillId="7" borderId="0" xfId="0" applyNumberFormat="1" applyFont="1" applyFill="1" applyAlignment="1">
      <alignment horizontal="left" vertical="center"/>
    </xf>
    <xf numFmtId="0" fontId="5" fillId="7" borderId="0" xfId="0" applyFont="1" applyFill="1" applyAlignment="1">
      <alignment horizontal="center" vertical="center"/>
    </xf>
    <xf numFmtId="0" fontId="5" fillId="7" borderId="1" xfId="0" applyFont="1" applyFill="1" applyBorder="1" applyAlignment="1">
      <alignment horizontal="center" vertical="center"/>
    </xf>
    <xf numFmtId="0" fontId="22" fillId="7" borderId="1" xfId="0" applyFont="1" applyFill="1" applyBorder="1" applyAlignment="1">
      <alignment horizontal="center" vertical="center"/>
    </xf>
    <xf numFmtId="0" fontId="78" fillId="18" borderId="0" xfId="0" applyFont="1" applyFill="1" applyAlignment="1">
      <alignment vertical="center"/>
    </xf>
    <xf numFmtId="0" fontId="79" fillId="18" borderId="0" xfId="0" applyFont="1" applyFill="1" applyAlignment="1">
      <alignment vertical="center"/>
    </xf>
    <xf numFmtId="14" fontId="79" fillId="18" borderId="0" xfId="0" applyNumberFormat="1" applyFont="1" applyFill="1" applyAlignment="1">
      <alignment vertical="center"/>
    </xf>
    <xf numFmtId="0" fontId="79" fillId="20" borderId="0" xfId="0" applyFont="1" applyFill="1" applyAlignment="1">
      <alignment vertical="center" wrapText="1"/>
    </xf>
    <xf numFmtId="0" fontId="82" fillId="20" borderId="0" xfId="0" applyFont="1" applyFill="1" applyAlignment="1">
      <alignment vertical="center"/>
    </xf>
    <xf numFmtId="0" fontId="82" fillId="21" borderId="0" xfId="0" applyFont="1" applyFill="1" applyAlignment="1">
      <alignment vertical="center"/>
    </xf>
    <xf numFmtId="0" fontId="83" fillId="22" borderId="0" xfId="0" applyFont="1" applyFill="1" applyAlignment="1">
      <alignment vertical="center"/>
    </xf>
    <xf numFmtId="0" fontId="79" fillId="20" borderId="0" xfId="0" applyFont="1" applyFill="1" applyAlignment="1">
      <alignment vertical="center"/>
    </xf>
    <xf numFmtId="0" fontId="79" fillId="21" borderId="0" xfId="0" applyFont="1" applyFill="1" applyAlignment="1">
      <alignment vertical="center"/>
    </xf>
    <xf numFmtId="0" fontId="78" fillId="21" borderId="0" xfId="0" applyFont="1" applyFill="1" applyAlignment="1">
      <alignment vertical="center"/>
    </xf>
    <xf numFmtId="0" fontId="78" fillId="20" borderId="0" xfId="0" applyFont="1" applyFill="1" applyAlignment="1">
      <alignment vertical="center"/>
    </xf>
    <xf numFmtId="0" fontId="83" fillId="23" borderId="0" xfId="0" applyFont="1" applyFill="1" applyAlignment="1">
      <alignment vertical="center"/>
    </xf>
    <xf numFmtId="0" fontId="79" fillId="24" borderId="0" xfId="0" applyFont="1" applyFill="1" applyAlignment="1">
      <alignment vertical="center" wrapText="1"/>
    </xf>
    <xf numFmtId="0" fontId="79" fillId="21" borderId="0" xfId="0" applyFont="1" applyFill="1" applyAlignment="1">
      <alignment vertical="center" wrapText="1"/>
    </xf>
    <xf numFmtId="0" fontId="78" fillId="20" borderId="0" xfId="0" applyFont="1" applyFill="1" applyAlignment="1">
      <alignment vertical="center" wrapText="1"/>
    </xf>
    <xf numFmtId="0" fontId="84" fillId="20" borderId="0" xfId="0" applyFont="1" applyFill="1" applyAlignment="1">
      <alignment vertical="center" wrapText="1"/>
    </xf>
    <xf numFmtId="0" fontId="78" fillId="21" borderId="0" xfId="0" applyFont="1" applyFill="1" applyAlignment="1">
      <alignment vertical="center" wrapText="1"/>
    </xf>
    <xf numFmtId="0" fontId="84" fillId="21" borderId="0" xfId="0" applyFont="1" applyFill="1" applyAlignment="1">
      <alignment vertical="center" wrapText="1"/>
    </xf>
    <xf numFmtId="0" fontId="85" fillId="21" borderId="0" xfId="0" applyFont="1" applyFill="1" applyAlignment="1">
      <alignment vertical="center" wrapText="1"/>
    </xf>
    <xf numFmtId="0" fontId="82" fillId="20" borderId="0" xfId="0" applyFont="1" applyFill="1" applyAlignment="1">
      <alignment vertical="center" wrapText="1"/>
    </xf>
    <xf numFmtId="0" fontId="82" fillId="21" borderId="0" xfId="0" applyFont="1" applyFill="1" applyAlignment="1">
      <alignment vertical="center" wrapText="1"/>
    </xf>
    <xf numFmtId="0" fontId="78" fillId="24" borderId="0" xfId="0" applyFont="1" applyFill="1" applyAlignment="1">
      <alignment vertical="center"/>
    </xf>
    <xf numFmtId="0" fontId="79" fillId="24" borderId="0" xfId="0" applyFont="1" applyFill="1" applyAlignment="1">
      <alignment vertical="center"/>
    </xf>
    <xf numFmtId="0" fontId="86" fillId="27" borderId="0" xfId="0" applyFont="1" applyFill="1" applyAlignment="1">
      <alignment vertical="center" wrapText="1"/>
    </xf>
    <xf numFmtId="0" fontId="78" fillId="27" borderId="0" xfId="0" applyFont="1" applyFill="1" applyAlignment="1">
      <alignment vertical="center" wrapText="1"/>
    </xf>
    <xf numFmtId="0" fontId="79" fillId="27" borderId="0" xfId="0" applyFont="1" applyFill="1" applyAlignment="1">
      <alignment vertical="center" wrapText="1"/>
    </xf>
    <xf numFmtId="0" fontId="84" fillId="27" borderId="0" xfId="0" applyFont="1" applyFill="1" applyAlignment="1">
      <alignment vertical="center" wrapText="1"/>
    </xf>
    <xf numFmtId="0" fontId="86" fillId="28" borderId="0" xfId="0" applyFont="1" applyFill="1" applyAlignment="1">
      <alignment vertical="center" wrapText="1"/>
    </xf>
    <xf numFmtId="0" fontId="78" fillId="28" borderId="0" xfId="0" applyFont="1" applyFill="1" applyAlignment="1">
      <alignment vertical="center" wrapText="1"/>
    </xf>
    <xf numFmtId="0" fontId="79" fillId="28" borderId="0" xfId="0" applyFont="1" applyFill="1" applyAlignment="1">
      <alignment vertical="center" wrapText="1"/>
    </xf>
    <xf numFmtId="0" fontId="84" fillId="28" borderId="0" xfId="0" applyFont="1" applyFill="1" applyAlignment="1">
      <alignment vertical="center" wrapText="1"/>
    </xf>
    <xf numFmtId="0" fontId="82" fillId="24" borderId="0" xfId="0" applyFont="1" applyFill="1" applyAlignment="1">
      <alignment vertical="center"/>
    </xf>
    <xf numFmtId="3" fontId="79" fillId="20" borderId="0" xfId="0" applyNumberFormat="1" applyFont="1" applyFill="1" applyAlignment="1">
      <alignment vertical="center"/>
    </xf>
    <xf numFmtId="3" fontId="79" fillId="21" borderId="0" xfId="0" applyNumberFormat="1" applyFont="1" applyFill="1" applyAlignment="1">
      <alignment vertical="center"/>
    </xf>
    <xf numFmtId="0" fontId="78" fillId="24" borderId="0" xfId="0" applyFont="1" applyFill="1" applyAlignment="1">
      <alignment vertical="center" wrapText="1"/>
    </xf>
    <xf numFmtId="0" fontId="84" fillId="25" borderId="0" xfId="0" applyFont="1" applyFill="1" applyAlignment="1">
      <alignment vertical="center" wrapText="1"/>
    </xf>
    <xf numFmtId="0" fontId="83" fillId="21" borderId="0" xfId="0" applyFont="1" applyFill="1" applyAlignment="1">
      <alignment vertical="center" wrapText="1"/>
    </xf>
    <xf numFmtId="0" fontId="78" fillId="28" borderId="0" xfId="0" applyFont="1" applyFill="1" applyAlignment="1">
      <alignment vertical="center"/>
    </xf>
    <xf numFmtId="0" fontId="83" fillId="17" borderId="0" xfId="0" applyFont="1" applyFill="1" applyAlignment="1">
      <alignment vertical="center"/>
    </xf>
    <xf numFmtId="0" fontId="79" fillId="29" borderId="0" xfId="0" applyFont="1" applyFill="1" applyAlignment="1">
      <alignment vertical="center"/>
    </xf>
    <xf numFmtId="0" fontId="78" fillId="29" borderId="0" xfId="0" applyFont="1" applyFill="1" applyAlignment="1">
      <alignment vertical="center"/>
    </xf>
    <xf numFmtId="0" fontId="91" fillId="29" borderId="0" xfId="0" applyFont="1" applyFill="1" applyAlignment="1">
      <alignment vertical="center"/>
    </xf>
    <xf numFmtId="16" fontId="79" fillId="20" borderId="0" xfId="0" applyNumberFormat="1" applyFont="1" applyFill="1" applyAlignment="1">
      <alignment vertical="center"/>
    </xf>
    <xf numFmtId="0" fontId="82" fillId="24" borderId="0" xfId="0" applyFont="1" applyFill="1" applyAlignment="1">
      <alignment vertical="center" wrapText="1"/>
    </xf>
    <xf numFmtId="0" fontId="72" fillId="14" borderId="29" xfId="0" applyFont="1" applyFill="1" applyBorder="1" applyAlignment="1">
      <alignment horizontal="center" vertical="center"/>
    </xf>
    <xf numFmtId="0" fontId="72" fillId="14" borderId="0" xfId="0" applyFont="1" applyFill="1" applyAlignment="1">
      <alignment horizontal="center" vertical="center"/>
    </xf>
    <xf numFmtId="37" fontId="72" fillId="0" borderId="30" xfId="7" applyNumberFormat="1" applyFont="1" applyFill="1" applyBorder="1" applyAlignment="1">
      <alignment horizontal="center" vertical="center"/>
    </xf>
    <xf numFmtId="37" fontId="72" fillId="0" borderId="31" xfId="7" applyNumberFormat="1" applyFont="1" applyFill="1" applyBorder="1" applyAlignment="1">
      <alignment horizontal="center" vertical="center"/>
    </xf>
    <xf numFmtId="0" fontId="72" fillId="14" borderId="32" xfId="0" applyFont="1" applyFill="1" applyBorder="1" applyAlignment="1">
      <alignment horizontal="center" vertical="center"/>
    </xf>
    <xf numFmtId="0" fontId="72" fillId="14" borderId="33" xfId="0" applyFont="1" applyFill="1" applyBorder="1" applyAlignment="1">
      <alignment horizontal="center" vertical="center"/>
    </xf>
    <xf numFmtId="183" fontId="72" fillId="0" borderId="34" xfId="7" applyNumberFormat="1" applyFont="1" applyFill="1" applyBorder="1" applyAlignment="1">
      <alignment horizontal="center" vertical="center"/>
    </xf>
    <xf numFmtId="183" fontId="72" fillId="0" borderId="35" xfId="7" applyNumberFormat="1" applyFont="1" applyFill="1" applyBorder="1" applyAlignment="1">
      <alignment horizontal="center" vertical="center"/>
    </xf>
    <xf numFmtId="0" fontId="72" fillId="7" borderId="11" xfId="0" applyFont="1" applyFill="1" applyBorder="1" applyAlignment="1">
      <alignment horizontal="center" vertical="center"/>
    </xf>
    <xf numFmtId="0" fontId="72" fillId="7" borderId="12" xfId="0" applyFont="1" applyFill="1" applyBorder="1" applyAlignment="1">
      <alignment horizontal="center" vertical="center"/>
    </xf>
    <xf numFmtId="183" fontId="72" fillId="0" borderId="28" xfId="7" applyNumberFormat="1" applyFont="1" applyFill="1" applyBorder="1" applyAlignment="1">
      <alignment horizontal="center" vertical="center"/>
    </xf>
    <xf numFmtId="183" fontId="72" fillId="0" borderId="13" xfId="7" applyNumberFormat="1" applyFont="1" applyFill="1" applyBorder="1" applyAlignment="1">
      <alignment horizontal="center" vertical="center"/>
    </xf>
    <xf numFmtId="37" fontId="72" fillId="7" borderId="30" xfId="7" applyNumberFormat="1" applyFont="1" applyFill="1" applyBorder="1" applyAlignment="1">
      <alignment horizontal="center" vertical="center"/>
    </xf>
    <xf numFmtId="37" fontId="72" fillId="7" borderId="31" xfId="7" applyNumberFormat="1" applyFont="1" applyFill="1" applyBorder="1" applyAlignment="1">
      <alignment horizontal="center" vertical="center"/>
    </xf>
    <xf numFmtId="183" fontId="72" fillId="7" borderId="34" xfId="7" applyNumberFormat="1" applyFont="1" applyFill="1" applyBorder="1" applyAlignment="1">
      <alignment horizontal="center" vertical="center"/>
    </xf>
    <xf numFmtId="183" fontId="72" fillId="7" borderId="35" xfId="7" applyNumberFormat="1" applyFont="1" applyFill="1" applyBorder="1" applyAlignment="1">
      <alignment horizontal="center" vertical="center"/>
    </xf>
    <xf numFmtId="0" fontId="72" fillId="14" borderId="11" xfId="0" applyFont="1" applyFill="1" applyBorder="1" applyAlignment="1">
      <alignment horizontal="center" vertical="center"/>
    </xf>
    <xf numFmtId="0" fontId="72" fillId="14" borderId="12" xfId="0" applyFont="1" applyFill="1" applyBorder="1" applyAlignment="1">
      <alignment horizontal="center" vertical="center"/>
    </xf>
    <xf numFmtId="0" fontId="72" fillId="14" borderId="13" xfId="0" applyFont="1" applyFill="1" applyBorder="1" applyAlignment="1">
      <alignment horizontal="center" vertical="center"/>
    </xf>
    <xf numFmtId="0" fontId="59" fillId="0" borderId="0" xfId="0" applyFont="1" applyAlignment="1">
      <alignment horizontal="center" vertical="center"/>
    </xf>
    <xf numFmtId="0" fontId="75" fillId="0" borderId="0" xfId="0" applyFont="1" applyAlignment="1">
      <alignment horizontal="left" vertical="top" wrapText="1"/>
    </xf>
    <xf numFmtId="0" fontId="61" fillId="0" borderId="6" xfId="0" applyFont="1" applyBorder="1" applyAlignment="1">
      <alignment horizontal="left" vertical="center" indent="1"/>
    </xf>
    <xf numFmtId="0" fontId="61" fillId="0" borderId="7" xfId="0" applyFont="1" applyBorder="1" applyAlignment="1">
      <alignment horizontal="left" vertical="center" indent="1"/>
    </xf>
    <xf numFmtId="0" fontId="61" fillId="0" borderId="8" xfId="0" applyFont="1" applyBorder="1" applyAlignment="1">
      <alignment horizontal="left" vertical="center" indent="1"/>
    </xf>
    <xf numFmtId="9" fontId="68" fillId="0" borderId="6" xfId="2" applyFont="1" applyBorder="1" applyAlignment="1">
      <alignment horizontal="center" vertical="center"/>
    </xf>
    <xf numFmtId="9" fontId="68" fillId="0" borderId="7" xfId="2" applyFont="1" applyBorder="1" applyAlignment="1">
      <alignment horizontal="center" vertical="center"/>
    </xf>
    <xf numFmtId="9" fontId="68" fillId="0" borderId="8" xfId="2" applyFont="1" applyBorder="1" applyAlignment="1">
      <alignment horizontal="center" vertical="center"/>
    </xf>
    <xf numFmtId="169" fontId="61" fillId="14" borderId="6" xfId="0" applyNumberFormat="1" applyFont="1" applyFill="1" applyBorder="1" applyAlignment="1">
      <alignment horizontal="right" vertical="center" indent="1"/>
    </xf>
    <xf numFmtId="169" fontId="61" fillId="14" borderId="8" xfId="0" applyNumberFormat="1" applyFont="1" applyFill="1" applyBorder="1" applyAlignment="1">
      <alignment horizontal="right" vertical="center" indent="1"/>
    </xf>
    <xf numFmtId="169" fontId="70" fillId="15" borderId="9" xfId="0" applyNumberFormat="1" applyFont="1" applyFill="1" applyBorder="1" applyAlignment="1">
      <alignment horizontal="right" vertical="center" indent="1"/>
    </xf>
    <xf numFmtId="169" fontId="70" fillId="15" borderId="10" xfId="0" applyNumberFormat="1" applyFont="1" applyFill="1" applyBorder="1" applyAlignment="1">
      <alignment horizontal="right" vertical="center" indent="1"/>
    </xf>
    <xf numFmtId="37" fontId="68" fillId="0" borderId="6" xfId="0" applyNumberFormat="1" applyFont="1" applyBorder="1" applyAlignment="1">
      <alignment horizontal="center" vertical="center" wrapText="1"/>
    </xf>
    <xf numFmtId="37" fontId="68" fillId="0" borderId="7" xfId="0" applyNumberFormat="1" applyFont="1" applyBorder="1" applyAlignment="1">
      <alignment horizontal="center" vertical="center" wrapText="1"/>
    </xf>
    <xf numFmtId="37" fontId="68" fillId="0" borderId="8" xfId="0" applyNumberFormat="1" applyFont="1" applyBorder="1" applyAlignment="1">
      <alignment horizontal="center" vertical="center" wrapText="1"/>
    </xf>
    <xf numFmtId="176" fontId="61" fillId="14" borderId="6" xfId="0" applyNumberFormat="1" applyFont="1" applyFill="1" applyBorder="1" applyAlignment="1">
      <alignment horizontal="right" vertical="center" indent="1"/>
    </xf>
    <xf numFmtId="176" fontId="61" fillId="14" borderId="8" xfId="0" applyNumberFormat="1" applyFont="1" applyFill="1" applyBorder="1" applyAlignment="1">
      <alignment horizontal="right" vertical="center" indent="1"/>
    </xf>
    <xf numFmtId="169" fontId="61" fillId="7" borderId="6" xfId="0" applyNumberFormat="1" applyFont="1" applyFill="1" applyBorder="1" applyAlignment="1">
      <alignment horizontal="right" vertical="center" indent="1"/>
    </xf>
    <xf numFmtId="169" fontId="61" fillId="7" borderId="8" xfId="0" applyNumberFormat="1" applyFont="1" applyFill="1" applyBorder="1" applyAlignment="1">
      <alignment horizontal="right" vertical="center" indent="1"/>
    </xf>
    <xf numFmtId="0" fontId="65" fillId="0" borderId="0" xfId="0" applyFont="1" applyAlignment="1">
      <alignment horizontal="center" vertical="center"/>
    </xf>
    <xf numFmtId="0" fontId="67" fillId="0" borderId="6" xfId="0" applyFont="1" applyBorder="1" applyAlignment="1">
      <alignment horizontal="left" vertical="center" indent="1"/>
    </xf>
    <xf numFmtId="0" fontId="67" fillId="0" borderId="7" xfId="0" applyFont="1" applyBorder="1" applyAlignment="1">
      <alignment horizontal="left" vertical="center" indent="1"/>
    </xf>
    <xf numFmtId="0" fontId="67" fillId="0" borderId="8" xfId="0" applyFont="1" applyBorder="1" applyAlignment="1">
      <alignment horizontal="left" vertical="center" indent="1"/>
    </xf>
    <xf numFmtId="37" fontId="68" fillId="0" borderId="6" xfId="0" applyNumberFormat="1" applyFont="1" applyBorder="1" applyAlignment="1">
      <alignment horizontal="center" vertical="center"/>
    </xf>
    <xf numFmtId="37" fontId="68" fillId="0" borderId="7" xfId="0" applyNumberFormat="1" applyFont="1" applyBorder="1" applyAlignment="1">
      <alignment horizontal="center" vertical="center"/>
    </xf>
    <xf numFmtId="37" fontId="68" fillId="0" borderId="8" xfId="0" applyNumberFormat="1" applyFont="1" applyBorder="1" applyAlignment="1">
      <alignment horizontal="center" vertical="center"/>
    </xf>
    <xf numFmtId="176" fontId="67" fillId="14" borderId="6" xfId="0" applyNumberFormat="1" applyFont="1" applyFill="1" applyBorder="1" applyAlignment="1">
      <alignment horizontal="right" vertical="center" indent="1"/>
    </xf>
    <xf numFmtId="176" fontId="67" fillId="14" borderId="8" xfId="0" applyNumberFormat="1" applyFont="1" applyFill="1" applyBorder="1" applyAlignment="1">
      <alignment horizontal="right" vertical="center" indent="1"/>
    </xf>
    <xf numFmtId="37" fontId="58" fillId="0" borderId="0" xfId="0" applyNumberFormat="1" applyFont="1" applyAlignment="1">
      <alignment horizontal="left" vertical="center" indent="1"/>
    </xf>
    <xf numFmtId="179" fontId="62" fillId="0" borderId="0" xfId="0" applyNumberFormat="1" applyFont="1" applyAlignment="1">
      <alignment horizontal="left" vertical="center"/>
    </xf>
    <xf numFmtId="37" fontId="55" fillId="0" borderId="0" xfId="0" applyNumberFormat="1" applyFont="1" applyAlignment="1">
      <alignment horizontal="left" vertical="center" indent="1"/>
    </xf>
    <xf numFmtId="178" fontId="60" fillId="0" borderId="0" xfId="0" applyNumberFormat="1" applyFont="1" applyAlignment="1">
      <alignment horizontal="left" vertical="center"/>
    </xf>
    <xf numFmtId="179" fontId="62" fillId="7" borderId="0" xfId="0" applyNumberFormat="1" applyFont="1" applyFill="1" applyAlignment="1">
      <alignment horizontal="lef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168" fontId="14" fillId="0" borderId="4" xfId="0" applyNumberFormat="1" applyFont="1" applyBorder="1" applyAlignment="1">
      <alignment horizontal="left" vertical="center" wrapText="1"/>
    </xf>
    <xf numFmtId="0" fontId="33" fillId="7" borderId="0" xfId="0" applyFont="1" applyFill="1" applyAlignment="1">
      <alignment horizontal="center" vertical="center" wrapText="1"/>
    </xf>
    <xf numFmtId="0" fontId="13" fillId="0" borderId="0" xfId="0" applyFont="1" applyAlignment="1">
      <alignment horizontal="center" vertical="center" wrapText="1"/>
    </xf>
    <xf numFmtId="0" fontId="50" fillId="0" borderId="0" xfId="0" applyFont="1"/>
    <xf numFmtId="15" fontId="51" fillId="0" borderId="0" xfId="0" applyNumberFormat="1" applyFont="1"/>
    <xf numFmtId="0" fontId="53" fillId="0" borderId="0" xfId="0" applyFont="1"/>
    <xf numFmtId="0" fontId="52" fillId="0" borderId="0" xfId="0" applyFont="1"/>
    <xf numFmtId="0" fontId="29" fillId="0" borderId="4" xfId="0" applyFont="1" applyBorder="1" applyAlignment="1">
      <alignment horizontal="center" vertical="center"/>
    </xf>
    <xf numFmtId="0" fontId="79" fillId="27" borderId="0" xfId="0" applyFont="1" applyFill="1" applyAlignment="1">
      <alignment vertical="center" wrapText="1"/>
    </xf>
    <xf numFmtId="0" fontId="79" fillId="28" borderId="0" xfId="0" applyFont="1" applyFill="1" applyAlignment="1">
      <alignment vertical="center" wrapText="1"/>
    </xf>
    <xf numFmtId="0" fontId="87" fillId="17" borderId="0" xfId="0" applyFont="1" applyFill="1" applyAlignment="1">
      <alignment horizontal="center" vertical="center"/>
    </xf>
    <xf numFmtId="0" fontId="80" fillId="19" borderId="0" xfId="0" applyFont="1" applyFill="1" applyAlignment="1">
      <alignment vertical="center"/>
    </xf>
    <xf numFmtId="0" fontId="83" fillId="22" borderId="0" xfId="0" applyFont="1" applyFill="1" applyAlignment="1">
      <alignment vertical="center"/>
    </xf>
    <xf numFmtId="0" fontId="79" fillId="21" borderId="0" xfId="0" applyFont="1" applyFill="1" applyAlignment="1">
      <alignment vertical="center"/>
    </xf>
    <xf numFmtId="0" fontId="79" fillId="20" borderId="0" xfId="0" applyFont="1" applyFill="1" applyAlignment="1">
      <alignment vertical="center"/>
    </xf>
    <xf numFmtId="0" fontId="79" fillId="24" borderId="0" xfId="0" applyFont="1" applyFill="1" applyAlignment="1">
      <alignment vertical="center"/>
    </xf>
    <xf numFmtId="0" fontId="80" fillId="26" borderId="0" xfId="0" applyFont="1" applyFill="1" applyAlignment="1">
      <alignment vertical="center"/>
    </xf>
    <xf numFmtId="0" fontId="79" fillId="21" borderId="0" xfId="0" applyFont="1" applyFill="1" applyAlignment="1">
      <alignment vertical="center" wrapText="1"/>
    </xf>
    <xf numFmtId="0" fontId="79" fillId="20" borderId="0" xfId="0" applyFont="1" applyFill="1" applyAlignment="1">
      <alignment vertical="center" wrapText="1"/>
    </xf>
    <xf numFmtId="0" fontId="83" fillId="23" borderId="0" xfId="0" applyFont="1" applyFill="1" applyAlignment="1">
      <alignment vertical="center"/>
    </xf>
    <xf numFmtId="0" fontId="79" fillId="25" borderId="0" xfId="0" applyFont="1" applyFill="1" applyAlignment="1">
      <alignment vertical="center"/>
    </xf>
    <xf numFmtId="0" fontId="79" fillId="24" borderId="0" xfId="0" applyFont="1" applyFill="1" applyAlignment="1">
      <alignment vertical="center" wrapText="1"/>
    </xf>
    <xf numFmtId="0" fontId="78" fillId="20" borderId="0" xfId="0" applyFont="1" applyFill="1" applyAlignment="1">
      <alignment vertical="center"/>
    </xf>
    <xf numFmtId="0" fontId="78" fillId="21" borderId="0" xfId="0" applyFont="1" applyFill="1" applyAlignment="1">
      <alignment vertical="center"/>
    </xf>
    <xf numFmtId="0" fontId="82" fillId="20" borderId="0" xfId="0" applyFont="1" applyFill="1" applyAlignment="1">
      <alignment vertical="center"/>
    </xf>
    <xf numFmtId="0" fontId="82" fillId="21" borderId="0" xfId="0" applyFont="1" applyFill="1" applyAlignment="1">
      <alignment vertical="center"/>
    </xf>
    <xf numFmtId="9" fontId="78" fillId="20" borderId="0" xfId="0" applyNumberFormat="1" applyFont="1" applyFill="1" applyAlignment="1">
      <alignment vertical="center"/>
    </xf>
    <xf numFmtId="0" fontId="81" fillId="17" borderId="0" xfId="0" applyFont="1" applyFill="1" applyAlignment="1">
      <alignment horizontal="center" vertical="center"/>
    </xf>
    <xf numFmtId="0" fontId="90" fillId="20" borderId="0" xfId="0" applyFont="1" applyFill="1" applyAlignment="1">
      <alignment vertical="center" wrapText="1"/>
    </xf>
    <xf numFmtId="0" fontId="0" fillId="0" borderId="0" xfId="0" applyAlignment="1">
      <alignment vertical="center"/>
    </xf>
    <xf numFmtId="0" fontId="90" fillId="21" borderId="0" xfId="0" applyFont="1" applyFill="1" applyAlignment="1">
      <alignment vertical="center" wrapText="1"/>
    </xf>
    <xf numFmtId="0" fontId="80" fillId="17" borderId="0" xfId="0" applyFont="1" applyFill="1" applyAlignment="1">
      <alignment horizontal="center" vertical="center"/>
    </xf>
    <xf numFmtId="0" fontId="89" fillId="28" borderId="0" xfId="0" applyFont="1" applyFill="1" applyAlignment="1">
      <alignment vertical="center" wrapText="1"/>
    </xf>
    <xf numFmtId="0" fontId="80" fillId="19" borderId="0" xfId="0" applyFont="1" applyFill="1" applyAlignment="1">
      <alignment horizontal="center" vertical="center"/>
    </xf>
    <xf numFmtId="0" fontId="79" fillId="28" borderId="0" xfId="0" applyFont="1" applyFill="1" applyAlignment="1">
      <alignment vertical="center"/>
    </xf>
    <xf numFmtId="4" fontId="78" fillId="28" borderId="0" xfId="0" applyNumberFormat="1" applyFont="1" applyFill="1" applyAlignment="1">
      <alignment vertical="center"/>
    </xf>
    <xf numFmtId="4" fontId="79" fillId="28" borderId="0" xfId="0" applyNumberFormat="1" applyFont="1" applyFill="1" applyAlignment="1">
      <alignment vertical="center"/>
    </xf>
    <xf numFmtId="0" fontId="80" fillId="22" borderId="0" xfId="0" applyFont="1" applyFill="1" applyAlignment="1">
      <alignment horizontal="center" vertical="center"/>
    </xf>
    <xf numFmtId="0" fontId="83" fillId="17" borderId="0" xfId="0" applyFont="1" applyFill="1" applyAlignment="1">
      <alignment vertical="center"/>
    </xf>
    <xf numFmtId="3" fontId="79" fillId="20" borderId="0" xfId="0" applyNumberFormat="1" applyFont="1" applyFill="1" applyAlignment="1">
      <alignment vertical="center"/>
    </xf>
    <xf numFmtId="4" fontId="79" fillId="21" borderId="0" xfId="0" applyNumberFormat="1" applyFont="1" applyFill="1" applyAlignment="1">
      <alignment vertical="center"/>
    </xf>
    <xf numFmtId="3" fontId="78" fillId="28" borderId="0" xfId="0" applyNumberFormat="1" applyFont="1" applyFill="1" applyAlignment="1">
      <alignment vertical="center" wrapText="1"/>
    </xf>
    <xf numFmtId="3" fontId="79" fillId="28" borderId="0" xfId="0" applyNumberFormat="1" applyFont="1" applyFill="1" applyAlignment="1">
      <alignment vertical="center" wrapText="1"/>
    </xf>
    <xf numFmtId="3" fontId="79" fillId="21" borderId="0" xfId="0" applyNumberFormat="1" applyFont="1" applyFill="1" applyAlignment="1">
      <alignment vertical="center" wrapText="1"/>
    </xf>
    <xf numFmtId="0" fontId="79" fillId="21" borderId="0" xfId="0" applyFont="1" applyFill="1"/>
    <xf numFmtId="0" fontId="83" fillId="21" borderId="0" xfId="0" applyFont="1" applyFill="1" applyAlignment="1">
      <alignment vertical="center" wrapText="1"/>
    </xf>
    <xf numFmtId="3" fontId="83" fillId="21" borderId="0" xfId="0" applyNumberFormat="1" applyFont="1" applyFill="1" applyAlignment="1">
      <alignment vertical="center" wrapText="1"/>
    </xf>
    <xf numFmtId="0" fontId="79" fillId="25" borderId="0" xfId="0" applyFont="1" applyFill="1" applyAlignment="1">
      <alignment vertical="center" wrapText="1"/>
    </xf>
    <xf numFmtId="0" fontId="91" fillId="21" borderId="0" xfId="0" applyFont="1" applyFill="1" applyAlignment="1">
      <alignment vertical="center" wrapText="1"/>
    </xf>
    <xf numFmtId="0" fontId="91" fillId="24" borderId="0" xfId="0" applyFont="1" applyFill="1" applyAlignment="1">
      <alignment vertical="center" wrapText="1"/>
    </xf>
    <xf numFmtId="0" fontId="83" fillId="17" borderId="0" xfId="0" applyFont="1" applyFill="1" applyAlignment="1">
      <alignment horizontal="center" vertical="center"/>
    </xf>
    <xf numFmtId="0" fontId="88" fillId="17" borderId="0" xfId="0" applyFont="1" applyFill="1" applyAlignment="1">
      <alignment vertical="center"/>
    </xf>
    <xf numFmtId="0" fontId="89" fillId="18" borderId="0" xfId="0" applyFont="1" applyFill="1" applyAlignment="1">
      <alignment vertical="center"/>
    </xf>
  </cellXfs>
  <cellStyles count="9">
    <cellStyle name="Comma" xfId="1" builtinId="3"/>
    <cellStyle name="Comma 2" xfId="3" xr:uid="{F5D862DF-2FC4-E048-BAF1-254503591531}"/>
    <cellStyle name="Currency" xfId="7" builtinId="4"/>
    <cellStyle name="Hyperlink" xfId="6" builtinId="8"/>
    <cellStyle name="Normal" xfId="0" builtinId="0"/>
    <cellStyle name="Normal 2" xfId="8" xr:uid="{80686530-0797-EF46-B22F-F1D977119E9F}"/>
    <cellStyle name="Normal 2 2" xfId="5" xr:uid="{FFD40E21-8FB8-E441-AD0D-6EB5DFF81C25}"/>
    <cellStyle name="Normal_Rated Proposed Products Master - 2003" xfId="4" xr:uid="{3E23AA96-B7B2-1D4B-9983-A7C39A30E3D9}"/>
    <cellStyle name="Percent" xfId="2" builtinId="5"/>
  </cellStyles>
  <dxfs count="10">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213645</xdr:colOff>
      <xdr:row>0</xdr:row>
      <xdr:rowOff>11869</xdr:rowOff>
    </xdr:from>
    <xdr:to>
      <xdr:col>1</xdr:col>
      <xdr:colOff>213646</xdr:colOff>
      <xdr:row>0</xdr:row>
      <xdr:rowOff>593458</xdr:rowOff>
    </xdr:to>
    <xdr:pic>
      <xdr:nvPicPr>
        <xdr:cNvPr id="3" name="Picture 2">
          <a:extLst>
            <a:ext uri="{FF2B5EF4-FFF2-40B4-BE49-F238E27FC236}">
              <a16:creationId xmlns:a16="http://schemas.microsoft.com/office/drawing/2014/main" id="{7680F2A6-EB1E-C1E7-5681-813978D7E8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645" y="11869"/>
          <a:ext cx="2243272" cy="58158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AB7853-8188-CF4F-B2BC-D0AF878AE0DA}">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hyperlink" Target="mailto:Cheri.Jijo@nas.ae" TargetMode="External"/><Relationship Id="rId1" Type="http://schemas.openxmlformats.org/officeDocument/2006/relationships/hyperlink" Target="mailto:Healthxendorsments@nas.ae"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56D5-80AE-4A43-8185-B3FF06F44FFF}">
  <dimension ref="A1:AC109"/>
  <sheetViews>
    <sheetView zoomScale="125" workbookViewId="0">
      <selection activeCell="C3" sqref="C3"/>
    </sheetView>
  </sheetViews>
  <sheetFormatPr baseColWidth="10" defaultColWidth="12.33203125" defaultRowHeight="13"/>
  <cols>
    <col min="1" max="1" width="10" style="143" customWidth="1"/>
    <col min="2" max="2" width="12.6640625" style="143" customWidth="1"/>
    <col min="3" max="3" width="8" style="143" customWidth="1"/>
    <col min="4" max="4" width="12.6640625" style="143" customWidth="1"/>
    <col min="5" max="5" width="8" style="143" customWidth="1"/>
    <col min="6" max="6" width="1.5" style="143" customWidth="1"/>
    <col min="7" max="7" width="12.6640625" style="143" customWidth="1"/>
    <col min="8" max="8" width="9" style="143" customWidth="1"/>
    <col min="9" max="9" width="12.6640625" style="143" customWidth="1"/>
    <col min="10" max="10" width="8" style="143" customWidth="1"/>
    <col min="11" max="11" width="7.1640625" style="143" customWidth="1"/>
    <col min="12" max="12" width="13.6640625" style="143" bestFit="1" customWidth="1"/>
    <col min="13" max="13" width="12.33203125" style="143"/>
    <col min="14" max="14" width="7.83203125" style="143" bestFit="1" customWidth="1"/>
    <col min="15" max="15" width="12.33203125" style="143"/>
    <col min="16" max="17" width="13.6640625" style="143" bestFit="1" customWidth="1"/>
    <col min="18" max="20" width="12.33203125" style="143"/>
    <col min="21" max="21" width="14.5" style="143" bestFit="1" customWidth="1"/>
    <col min="22" max="23" width="12.33203125" style="143"/>
    <col min="24" max="24" width="14.33203125" style="143" bestFit="1" customWidth="1"/>
    <col min="25" max="25" width="28" style="143" bestFit="1" customWidth="1"/>
    <col min="26" max="26" width="12.83203125" style="143" bestFit="1" customWidth="1"/>
    <col min="27" max="27" width="13.5" style="143" customWidth="1"/>
    <col min="28" max="28" width="13.6640625" style="143" bestFit="1" customWidth="1"/>
    <col min="29" max="16384" width="12.33203125" style="143"/>
  </cols>
  <sheetData>
    <row r="1" spans="1:29" s="144" customFormat="1" ht="27" customHeight="1">
      <c r="A1" s="313" t="s">
        <v>0</v>
      </c>
      <c r="B1" s="313"/>
      <c r="C1" s="200" t="s">
        <v>1</v>
      </c>
      <c r="D1" s="202"/>
      <c r="E1" s="202"/>
      <c r="F1" s="141"/>
      <c r="G1" s="142"/>
      <c r="H1" s="143"/>
      <c r="I1" s="314"/>
      <c r="J1" s="314"/>
    </row>
    <row r="2" spans="1:29" s="144" customFormat="1" ht="27" customHeight="1">
      <c r="A2" s="311" t="s">
        <v>2</v>
      </c>
      <c r="B2" s="311"/>
      <c r="C2" s="315">
        <v>46105</v>
      </c>
      <c r="D2" s="315"/>
      <c r="E2" s="203"/>
      <c r="F2" s="145"/>
      <c r="G2" s="142"/>
      <c r="H2" s="146"/>
      <c r="I2" s="314"/>
      <c r="J2" s="314"/>
    </row>
    <row r="3" spans="1:29" s="144" customFormat="1" ht="27" customHeight="1">
      <c r="A3" s="311" t="s">
        <v>3</v>
      </c>
      <c r="B3" s="311"/>
      <c r="C3" s="201" t="s">
        <v>4</v>
      </c>
      <c r="D3" s="203"/>
      <c r="E3" s="203"/>
      <c r="F3" s="145"/>
      <c r="H3" s="146"/>
      <c r="I3" s="312"/>
      <c r="J3" s="312"/>
      <c r="Q3" s="147"/>
      <c r="X3" s="148"/>
      <c r="Y3" s="149"/>
    </row>
    <row r="4" spans="1:29" ht="18" customHeight="1">
      <c r="A4" s="150"/>
      <c r="B4" s="151"/>
      <c r="C4" s="151"/>
      <c r="D4" s="151"/>
      <c r="E4" s="151"/>
      <c r="F4" s="151"/>
      <c r="G4" s="151"/>
      <c r="H4" s="151"/>
      <c r="I4" s="151"/>
      <c r="J4" s="151"/>
      <c r="O4" s="152"/>
      <c r="X4" s="152"/>
      <c r="Y4" s="153"/>
    </row>
    <row r="5" spans="1:29" ht="18" customHeight="1">
      <c r="A5" s="150"/>
      <c r="B5" s="151"/>
      <c r="C5" s="151"/>
      <c r="D5" s="151"/>
      <c r="E5" s="151"/>
      <c r="F5" s="151"/>
      <c r="G5" s="151"/>
      <c r="H5" s="151"/>
      <c r="I5" s="151"/>
      <c r="J5" s="151"/>
    </row>
    <row r="6" spans="1:29" s="154" customFormat="1" ht="18">
      <c r="A6" s="302" t="s">
        <v>5</v>
      </c>
      <c r="B6" s="302"/>
      <c r="C6" s="302"/>
      <c r="D6" s="302"/>
      <c r="E6" s="302"/>
      <c r="F6" s="302"/>
      <c r="G6" s="302"/>
      <c r="H6" s="302"/>
      <c r="I6" s="302"/>
      <c r="J6" s="302"/>
      <c r="Y6" s="153"/>
    </row>
    <row r="7" spans="1:29" s="154" customFormat="1" ht="18" customHeight="1" thickBot="1">
      <c r="A7" s="144"/>
      <c r="B7" s="144"/>
      <c r="C7" s="144"/>
      <c r="D7" s="144"/>
      <c r="E7" s="144"/>
      <c r="F7" s="144"/>
      <c r="G7" s="144"/>
      <c r="H7" s="144"/>
      <c r="I7" s="144"/>
      <c r="W7" s="155"/>
      <c r="X7" s="156"/>
    </row>
    <row r="8" spans="1:29" s="144" customFormat="1" ht="28" customHeight="1" thickTop="1" thickBot="1">
      <c r="A8" s="303" t="s">
        <v>6</v>
      </c>
      <c r="B8" s="304"/>
      <c r="C8" s="304"/>
      <c r="D8" s="304"/>
      <c r="E8" s="305"/>
      <c r="F8" s="306" t="str">
        <f>I35+I59+I83+I107&amp; " members"</f>
        <v>17 members</v>
      </c>
      <c r="G8" s="307"/>
      <c r="H8" s="308"/>
      <c r="I8" s="309">
        <f>SUM(I34,I58,I82,I106)</f>
        <v>165194</v>
      </c>
      <c r="J8" s="310"/>
      <c r="W8" s="157"/>
      <c r="Z8" s="158"/>
      <c r="AA8" s="159"/>
      <c r="AB8" s="157"/>
      <c r="AC8" s="160"/>
    </row>
    <row r="9" spans="1:29" s="144" customFormat="1" ht="28" customHeight="1" thickTop="1" thickBot="1">
      <c r="A9" s="285" t="s">
        <v>7</v>
      </c>
      <c r="B9" s="286"/>
      <c r="C9" s="286"/>
      <c r="D9" s="286"/>
      <c r="E9" s="287"/>
      <c r="F9" s="306" t="str">
        <f>I35+I59+I83+I107&amp; " members"</f>
        <v>17 members</v>
      </c>
      <c r="G9" s="307"/>
      <c r="H9" s="308"/>
      <c r="I9" s="298">
        <f>(I35+I59+I83+I107)*37</f>
        <v>629</v>
      </c>
      <c r="J9" s="299"/>
      <c r="S9" s="157"/>
      <c r="X9" s="161"/>
      <c r="Y9" s="162"/>
      <c r="Z9" s="158"/>
      <c r="AA9" s="160"/>
      <c r="AC9" s="159"/>
    </row>
    <row r="10" spans="1:29" s="144" customFormat="1" ht="28" customHeight="1" thickTop="1" thickBot="1">
      <c r="A10" s="285" t="s">
        <v>8</v>
      </c>
      <c r="B10" s="286"/>
      <c r="C10" s="286"/>
      <c r="D10" s="286"/>
      <c r="E10" s="287"/>
      <c r="F10" s="295" t="s">
        <v>9</v>
      </c>
      <c r="G10" s="296"/>
      <c r="H10" s="297"/>
      <c r="I10" s="298">
        <v>0</v>
      </c>
      <c r="J10" s="299"/>
      <c r="X10" s="163"/>
      <c r="Z10" s="158"/>
    </row>
    <row r="11" spans="1:29" s="144" customFormat="1" ht="28" customHeight="1" thickTop="1" thickBot="1">
      <c r="A11" s="285" t="s">
        <v>10</v>
      </c>
      <c r="B11" s="286"/>
      <c r="C11" s="286"/>
      <c r="D11" s="286"/>
      <c r="E11" s="287"/>
      <c r="F11" s="295" t="s">
        <v>11</v>
      </c>
      <c r="G11" s="296"/>
      <c r="H11" s="297"/>
      <c r="I11" s="300"/>
      <c r="J11" s="301"/>
      <c r="K11" s="164"/>
      <c r="Z11" s="158"/>
    </row>
    <row r="12" spans="1:29" s="144" customFormat="1" ht="28" customHeight="1" thickTop="1" thickBot="1">
      <c r="A12" s="285" t="s">
        <v>12</v>
      </c>
      <c r="B12" s="286"/>
      <c r="C12" s="286"/>
      <c r="D12" s="286"/>
      <c r="E12" s="287"/>
      <c r="F12" s="288">
        <v>0.05</v>
      </c>
      <c r="G12" s="289"/>
      <c r="H12" s="290"/>
      <c r="I12" s="291">
        <f>SUM(I8:J11)*5%</f>
        <v>8291.15</v>
      </c>
      <c r="J12" s="292"/>
      <c r="W12" s="165"/>
      <c r="X12" s="166"/>
      <c r="Z12" s="158"/>
      <c r="AA12" s="160"/>
      <c r="AB12" s="167"/>
    </row>
    <row r="13" spans="1:29" s="144" customFormat="1" ht="28" customHeight="1" thickTop="1">
      <c r="F13" s="168"/>
      <c r="I13" s="293">
        <f>SUM(I8:J12)</f>
        <v>174114.15</v>
      </c>
      <c r="J13" s="294"/>
      <c r="U13" s="169"/>
      <c r="V13" s="170"/>
      <c r="Y13" s="160"/>
    </row>
    <row r="14" spans="1:29" s="144" customFormat="1" ht="16">
      <c r="A14" s="168"/>
      <c r="B14" s="168"/>
      <c r="L14" s="168"/>
      <c r="M14" s="168"/>
      <c r="X14" s="165"/>
      <c r="Y14" s="160"/>
    </row>
    <row r="15" spans="1:29" s="144" customFormat="1" ht="16">
      <c r="A15" s="168"/>
      <c r="B15" s="168"/>
      <c r="L15" s="168"/>
      <c r="M15" s="168"/>
    </row>
    <row r="16" spans="1:29" ht="18" customHeight="1">
      <c r="A16" s="171" t="s">
        <v>13</v>
      </c>
      <c r="B16" s="151"/>
      <c r="C16" s="151"/>
      <c r="D16" s="151"/>
      <c r="E16" s="151"/>
      <c r="F16" s="151"/>
      <c r="G16" s="151"/>
      <c r="H16" s="151"/>
      <c r="I16" s="151"/>
      <c r="J16" s="151"/>
    </row>
    <row r="17" spans="1:25" ht="14" thickBot="1">
      <c r="D17" s="151"/>
      <c r="E17" s="151"/>
      <c r="F17" s="151"/>
      <c r="G17" s="151"/>
      <c r="H17" s="151"/>
      <c r="I17" s="151"/>
      <c r="J17" s="151"/>
    </row>
    <row r="18" spans="1:25" ht="18" customHeight="1" thickTop="1" thickBot="1">
      <c r="A18" s="172"/>
      <c r="B18" s="280" t="s">
        <v>14</v>
      </c>
      <c r="C18" s="281"/>
      <c r="D18" s="281"/>
      <c r="E18" s="282"/>
      <c r="F18" s="173"/>
      <c r="G18" s="280" t="s">
        <v>15</v>
      </c>
      <c r="H18" s="281"/>
      <c r="I18" s="281"/>
      <c r="J18" s="282"/>
      <c r="O18" s="174"/>
      <c r="P18" s="283" t="s">
        <v>16</v>
      </c>
      <c r="Q18" s="283"/>
      <c r="W18" s="174"/>
      <c r="X18" s="283"/>
      <c r="Y18" s="283"/>
    </row>
    <row r="19" spans="1:25" ht="18" customHeight="1" thickTop="1" thickBot="1">
      <c r="A19" s="175" t="s">
        <v>17</v>
      </c>
      <c r="B19" s="176" t="s">
        <v>18</v>
      </c>
      <c r="C19" s="177" t="s">
        <v>19</v>
      </c>
      <c r="D19" s="176" t="s">
        <v>18</v>
      </c>
      <c r="E19" s="177" t="s">
        <v>20</v>
      </c>
      <c r="G19" s="176" t="s">
        <v>18</v>
      </c>
      <c r="H19" s="177" t="s">
        <v>19</v>
      </c>
      <c r="I19" s="176" t="s">
        <v>18</v>
      </c>
      <c r="J19" s="177" t="s">
        <v>20</v>
      </c>
      <c r="O19" s="174"/>
      <c r="P19" s="174" t="s">
        <v>21</v>
      </c>
      <c r="Q19" s="174" t="s">
        <v>22</v>
      </c>
      <c r="T19" s="173"/>
      <c r="Y19" s="174"/>
    </row>
    <row r="20" spans="1:25" ht="18" customHeight="1" thickTop="1">
      <c r="A20" s="205" t="s">
        <v>23</v>
      </c>
      <c r="B20" s="192">
        <v>4600</v>
      </c>
      <c r="C20" s="193"/>
      <c r="D20" s="198">
        <v>3600</v>
      </c>
      <c r="E20" s="193"/>
      <c r="G20" s="198">
        <v>6499</v>
      </c>
      <c r="H20" s="193"/>
      <c r="I20" s="198">
        <v>5234</v>
      </c>
      <c r="J20" s="193">
        <v>5</v>
      </c>
      <c r="O20" s="174" t="s">
        <v>24</v>
      </c>
      <c r="P20" s="178">
        <f>B20*C20+D20*E20</f>
        <v>0</v>
      </c>
      <c r="Q20" s="178">
        <f>G20*H20+I20*J20</f>
        <v>26170</v>
      </c>
      <c r="R20" s="178">
        <v>0</v>
      </c>
      <c r="T20" s="178"/>
      <c r="U20" s="178"/>
      <c r="Y20" s="178"/>
    </row>
    <row r="21" spans="1:25" ht="18" customHeight="1">
      <c r="A21" s="206" t="s">
        <v>25</v>
      </c>
      <c r="B21" s="194">
        <v>3157</v>
      </c>
      <c r="C21" s="195"/>
      <c r="D21" s="194">
        <v>3217</v>
      </c>
      <c r="E21" s="195"/>
      <c r="G21" s="194">
        <v>4674</v>
      </c>
      <c r="H21" s="195"/>
      <c r="I21" s="194">
        <v>4750</v>
      </c>
      <c r="J21" s="195">
        <v>1</v>
      </c>
      <c r="O21" s="174" t="s">
        <v>26</v>
      </c>
      <c r="P21" s="178">
        <f t="shared" ref="P21:P31" si="0">B21*C21+D21*E21</f>
        <v>0</v>
      </c>
      <c r="Q21" s="178">
        <f t="shared" ref="Q21:Q31" si="1">G21*H21+I21*J21</f>
        <v>4750</v>
      </c>
      <c r="T21" s="173"/>
      <c r="Y21" s="179"/>
    </row>
    <row r="22" spans="1:25" ht="18" customHeight="1">
      <c r="A22" s="206" t="s">
        <v>27</v>
      </c>
      <c r="B22" s="194">
        <v>5253</v>
      </c>
      <c r="C22" s="195">
        <v>1</v>
      </c>
      <c r="D22" s="194">
        <v>5997</v>
      </c>
      <c r="E22" s="195"/>
      <c r="G22" s="194">
        <v>5253</v>
      </c>
      <c r="H22" s="195"/>
      <c r="I22" s="194">
        <v>5997</v>
      </c>
      <c r="J22" s="195"/>
      <c r="L22" s="180"/>
      <c r="M22" s="180"/>
      <c r="O22" s="174" t="s">
        <v>28</v>
      </c>
      <c r="P22" s="178">
        <f t="shared" si="0"/>
        <v>5253</v>
      </c>
      <c r="Q22" s="178">
        <f t="shared" si="1"/>
        <v>0</v>
      </c>
      <c r="T22" s="173"/>
      <c r="Y22" s="179"/>
    </row>
    <row r="23" spans="1:25" ht="18" customHeight="1">
      <c r="A23" s="206" t="s">
        <v>29</v>
      </c>
      <c r="B23" s="194">
        <v>5833</v>
      </c>
      <c r="C23" s="195">
        <v>1</v>
      </c>
      <c r="D23" s="194">
        <v>7304</v>
      </c>
      <c r="E23" s="195">
        <v>1</v>
      </c>
      <c r="G23" s="194">
        <v>5833</v>
      </c>
      <c r="H23" s="195"/>
      <c r="I23" s="194">
        <v>7304</v>
      </c>
      <c r="J23" s="195">
        <v>2</v>
      </c>
      <c r="L23" s="180"/>
      <c r="M23" s="180"/>
      <c r="O23" s="174" t="s">
        <v>30</v>
      </c>
      <c r="P23" s="178">
        <f t="shared" si="0"/>
        <v>13137</v>
      </c>
      <c r="Q23" s="178">
        <f t="shared" si="1"/>
        <v>14608</v>
      </c>
      <c r="T23" s="173"/>
      <c r="Y23" s="179"/>
    </row>
    <row r="24" spans="1:25" ht="18" customHeight="1">
      <c r="A24" s="206" t="s">
        <v>31</v>
      </c>
      <c r="B24" s="194">
        <v>6915</v>
      </c>
      <c r="C24" s="195">
        <v>1</v>
      </c>
      <c r="D24" s="194">
        <v>8606</v>
      </c>
      <c r="E24" s="195"/>
      <c r="G24" s="194">
        <v>6915</v>
      </c>
      <c r="H24" s="195"/>
      <c r="I24" s="194">
        <v>8606</v>
      </c>
      <c r="J24" s="195"/>
      <c r="L24" s="180"/>
      <c r="M24" s="180"/>
      <c r="O24" s="174" t="s">
        <v>32</v>
      </c>
      <c r="P24" s="178">
        <f t="shared" si="0"/>
        <v>6915</v>
      </c>
      <c r="Q24" s="178">
        <f t="shared" si="1"/>
        <v>0</v>
      </c>
      <c r="T24" s="173"/>
      <c r="Y24" s="179"/>
    </row>
    <row r="25" spans="1:25" ht="18" customHeight="1">
      <c r="A25" s="206" t="s">
        <v>33</v>
      </c>
      <c r="B25" s="194">
        <v>8397</v>
      </c>
      <c r="C25" s="195">
        <v>1</v>
      </c>
      <c r="D25" s="194">
        <v>10589</v>
      </c>
      <c r="E25" s="195"/>
      <c r="G25" s="194">
        <v>8397</v>
      </c>
      <c r="H25" s="195"/>
      <c r="I25" s="194">
        <v>10589</v>
      </c>
      <c r="J25" s="195"/>
      <c r="L25" s="180"/>
      <c r="M25" s="180">
        <v>2599</v>
      </c>
      <c r="O25" s="174" t="s">
        <v>34</v>
      </c>
      <c r="P25" s="178">
        <f t="shared" si="0"/>
        <v>8397</v>
      </c>
      <c r="Q25" s="178">
        <f t="shared" si="1"/>
        <v>0</v>
      </c>
      <c r="S25" s="143">
        <v>25596</v>
      </c>
      <c r="T25" s="181">
        <v>0</v>
      </c>
      <c r="U25" s="143">
        <v>25596</v>
      </c>
      <c r="Y25" s="179"/>
    </row>
    <row r="26" spans="1:25" ht="18" customHeight="1">
      <c r="A26" s="206" t="s">
        <v>35</v>
      </c>
      <c r="B26" s="194">
        <v>8785</v>
      </c>
      <c r="C26" s="195">
        <v>1</v>
      </c>
      <c r="D26" s="194">
        <v>12068</v>
      </c>
      <c r="E26" s="195"/>
      <c r="G26" s="194">
        <v>8795</v>
      </c>
      <c r="H26" s="195"/>
      <c r="I26" s="194">
        <v>12068</v>
      </c>
      <c r="J26" s="195">
        <v>1</v>
      </c>
      <c r="L26" s="180"/>
      <c r="M26" s="180">
        <v>2716</v>
      </c>
      <c r="O26" s="174" t="s">
        <v>36</v>
      </c>
      <c r="P26" s="178">
        <f>B26*C26+D26*E26</f>
        <v>8785</v>
      </c>
      <c r="Q26" s="178">
        <f t="shared" si="1"/>
        <v>12068</v>
      </c>
      <c r="T26" s="173"/>
      <c r="Y26" s="179"/>
    </row>
    <row r="27" spans="1:25" ht="18" customHeight="1">
      <c r="A27" s="206" t="s">
        <v>37</v>
      </c>
      <c r="B27" s="194">
        <v>11304</v>
      </c>
      <c r="C27" s="195"/>
      <c r="D27" s="194">
        <v>14951</v>
      </c>
      <c r="E27" s="195"/>
      <c r="G27" s="194">
        <v>11304</v>
      </c>
      <c r="H27" s="195"/>
      <c r="I27" s="194">
        <v>14951</v>
      </c>
      <c r="J27" s="195"/>
      <c r="L27" s="180"/>
      <c r="M27" s="180">
        <v>-117</v>
      </c>
      <c r="O27" s="174" t="s">
        <v>38</v>
      </c>
      <c r="P27" s="178">
        <f t="shared" si="0"/>
        <v>0</v>
      </c>
      <c r="Q27" s="178">
        <f t="shared" si="1"/>
        <v>0</v>
      </c>
      <c r="T27" s="173"/>
      <c r="Y27" s="179"/>
    </row>
    <row r="28" spans="1:25" ht="18" customHeight="1">
      <c r="A28" s="206" t="s">
        <v>39</v>
      </c>
      <c r="B28" s="194">
        <v>14946</v>
      </c>
      <c r="C28" s="195"/>
      <c r="D28" s="194">
        <v>19507</v>
      </c>
      <c r="E28" s="195"/>
      <c r="G28" s="194">
        <v>14946</v>
      </c>
      <c r="H28" s="195"/>
      <c r="I28" s="194">
        <v>19507</v>
      </c>
      <c r="J28" s="195">
        <v>1</v>
      </c>
      <c r="L28" s="180"/>
      <c r="M28" s="180"/>
      <c r="O28" s="174" t="s">
        <v>40</v>
      </c>
      <c r="P28" s="178">
        <f t="shared" si="0"/>
        <v>0</v>
      </c>
      <c r="Q28" s="178">
        <f t="shared" si="1"/>
        <v>19507</v>
      </c>
      <c r="T28" s="173"/>
      <c r="Y28" s="179"/>
    </row>
    <row r="29" spans="1:25" ht="18" customHeight="1">
      <c r="A29" s="206" t="s">
        <v>41</v>
      </c>
      <c r="B29" s="194">
        <v>20128</v>
      </c>
      <c r="C29" s="195"/>
      <c r="D29" s="194">
        <v>23729</v>
      </c>
      <c r="E29" s="195"/>
      <c r="G29" s="194">
        <v>20128</v>
      </c>
      <c r="H29" s="195"/>
      <c r="I29" s="194">
        <v>23729</v>
      </c>
      <c r="J29" s="195"/>
      <c r="L29" s="180"/>
      <c r="M29" s="180"/>
      <c r="O29" s="174" t="s">
        <v>42</v>
      </c>
      <c r="P29" s="178">
        <f t="shared" si="0"/>
        <v>0</v>
      </c>
      <c r="Q29" s="178">
        <f t="shared" si="1"/>
        <v>0</v>
      </c>
      <c r="T29" s="173"/>
      <c r="Y29" s="179"/>
    </row>
    <row r="30" spans="1:25" ht="18" customHeight="1">
      <c r="A30" s="207" t="s">
        <v>43</v>
      </c>
      <c r="B30" s="194">
        <v>24628</v>
      </c>
      <c r="C30" s="195">
        <v>1</v>
      </c>
      <c r="D30" s="194">
        <v>28071</v>
      </c>
      <c r="E30" s="195"/>
      <c r="G30" s="194">
        <v>24628</v>
      </c>
      <c r="H30" s="195"/>
      <c r="I30" s="194">
        <v>28071</v>
      </c>
      <c r="J30" s="195"/>
      <c r="L30" s="180"/>
      <c r="M30" s="180">
        <v>-4.5017314351673718</v>
      </c>
      <c r="O30" s="174" t="s">
        <v>44</v>
      </c>
      <c r="P30" s="178">
        <f t="shared" si="0"/>
        <v>24628</v>
      </c>
      <c r="Q30" s="178">
        <f t="shared" si="1"/>
        <v>0</v>
      </c>
      <c r="T30" s="173"/>
      <c r="Y30" s="179"/>
    </row>
    <row r="31" spans="1:25" ht="26" customHeight="1" thickBot="1">
      <c r="A31" s="208" t="s">
        <v>45</v>
      </c>
      <c r="B31" s="196">
        <v>43786</v>
      </c>
      <c r="C31" s="197"/>
      <c r="D31" s="194">
        <v>49985</v>
      </c>
      <c r="E31" s="197"/>
      <c r="G31" s="196">
        <v>43786</v>
      </c>
      <c r="H31" s="197"/>
      <c r="I31" s="196">
        <v>49985</v>
      </c>
      <c r="J31" s="197"/>
      <c r="L31" s="180"/>
      <c r="M31" s="180"/>
      <c r="O31" s="174" t="s">
        <v>46</v>
      </c>
      <c r="P31" s="178">
        <f t="shared" si="0"/>
        <v>0</v>
      </c>
      <c r="Q31" s="178">
        <f t="shared" si="1"/>
        <v>0</v>
      </c>
      <c r="T31" s="173"/>
      <c r="Y31" s="179"/>
    </row>
    <row r="32" spans="1:25" ht="18" customHeight="1" thickTop="1">
      <c r="A32" s="182" t="s">
        <v>47</v>
      </c>
      <c r="C32" s="183">
        <f>SUM(C20:C31)</f>
        <v>6</v>
      </c>
      <c r="E32" s="183">
        <f>SUM(E20:E31)</f>
        <v>1</v>
      </c>
      <c r="H32" s="183">
        <f>SUM(H20:H31)</f>
        <v>0</v>
      </c>
      <c r="J32" s="183">
        <f>SUM(J20:J31)</f>
        <v>10</v>
      </c>
      <c r="O32" s="184" t="s">
        <v>47</v>
      </c>
      <c r="P32" s="185">
        <f>SUM(P20:P31)</f>
        <v>67115</v>
      </c>
      <c r="Q32" s="185">
        <f>SUM(Q20:Q31)</f>
        <v>77103</v>
      </c>
      <c r="T32" s="173"/>
      <c r="V32" s="186"/>
      <c r="Y32" s="187"/>
    </row>
    <row r="33" spans="1:17" ht="41" customHeight="1" thickBot="1">
      <c r="A33" s="284" t="s">
        <v>48</v>
      </c>
      <c r="B33" s="284"/>
      <c r="C33" s="284"/>
      <c r="D33" s="284"/>
      <c r="E33" s="284"/>
      <c r="F33" s="284"/>
      <c r="G33" s="284"/>
      <c r="H33" s="284"/>
      <c r="I33" s="284"/>
      <c r="J33" s="284"/>
    </row>
    <row r="34" spans="1:17" ht="18" customHeight="1" thickTop="1">
      <c r="A34" s="272" t="s">
        <v>49</v>
      </c>
      <c r="B34" s="273"/>
      <c r="C34" s="274">
        <f>C36*C35</f>
        <v>20976</v>
      </c>
      <c r="D34" s="275"/>
      <c r="G34" s="280" t="s">
        <v>50</v>
      </c>
      <c r="H34" s="281"/>
      <c r="I34" s="274">
        <f>P32+C34+Q32</f>
        <v>165194</v>
      </c>
      <c r="J34" s="275"/>
      <c r="K34" s="188"/>
      <c r="N34" s="188"/>
      <c r="P34" s="189"/>
    </row>
    <row r="35" spans="1:17" ht="18" customHeight="1">
      <c r="A35" s="264" t="s">
        <v>51</v>
      </c>
      <c r="B35" s="265"/>
      <c r="C35" s="276">
        <v>4</v>
      </c>
      <c r="D35" s="277"/>
      <c r="G35" s="264" t="s">
        <v>52</v>
      </c>
      <c r="H35" s="265"/>
      <c r="I35" s="266">
        <f>SUM(C20:C31,E20:E31,H20:H31,J20:J31)</f>
        <v>17</v>
      </c>
      <c r="J35" s="267"/>
    </row>
    <row r="36" spans="1:17" ht="18" customHeight="1" thickBot="1">
      <c r="A36" s="268" t="s">
        <v>53</v>
      </c>
      <c r="B36" s="269"/>
      <c r="C36" s="278">
        <v>5244</v>
      </c>
      <c r="D36" s="279"/>
      <c r="G36" s="268" t="s">
        <v>53</v>
      </c>
      <c r="H36" s="269"/>
      <c r="I36" s="270">
        <f>I34/I35</f>
        <v>9717.2941176470595</v>
      </c>
      <c r="J36" s="271"/>
    </row>
    <row r="37" spans="1:17" ht="18" customHeight="1" thickTop="1">
      <c r="I37" s="190"/>
      <c r="J37" s="190"/>
    </row>
    <row r="38" spans="1:17" ht="18" customHeight="1">
      <c r="I38" s="190"/>
      <c r="J38" s="190"/>
    </row>
    <row r="39" spans="1:17" ht="18" customHeight="1">
      <c r="I39" s="190"/>
      <c r="J39" s="190"/>
    </row>
    <row r="40" spans="1:17" ht="18" customHeight="1">
      <c r="A40" s="171" t="s">
        <v>54</v>
      </c>
    </row>
    <row r="41" spans="1:17" ht="18" customHeight="1" thickBot="1">
      <c r="B41" s="151"/>
      <c r="C41" s="151"/>
      <c r="D41" s="151"/>
      <c r="E41" s="151"/>
      <c r="F41" s="151"/>
      <c r="G41" s="151"/>
      <c r="H41" s="151"/>
      <c r="I41" s="151"/>
      <c r="J41" s="151"/>
    </row>
    <row r="42" spans="1:17" ht="18" customHeight="1" thickTop="1" thickBot="1">
      <c r="A42" s="172"/>
      <c r="B42" s="280" t="s">
        <v>14</v>
      </c>
      <c r="C42" s="281"/>
      <c r="D42" s="281"/>
      <c r="E42" s="282"/>
      <c r="F42" s="173"/>
      <c r="G42" s="280" t="s">
        <v>15</v>
      </c>
      <c r="H42" s="281"/>
      <c r="I42" s="281"/>
      <c r="J42" s="282"/>
      <c r="O42" s="174"/>
      <c r="P42" s="283" t="s">
        <v>55</v>
      </c>
      <c r="Q42" s="283"/>
    </row>
    <row r="43" spans="1:17" ht="18" customHeight="1" thickTop="1" thickBot="1">
      <c r="A43" s="175" t="s">
        <v>17</v>
      </c>
      <c r="B43" s="176" t="s">
        <v>18</v>
      </c>
      <c r="C43" s="177" t="s">
        <v>19</v>
      </c>
      <c r="D43" s="176" t="s">
        <v>18</v>
      </c>
      <c r="E43" s="177" t="s">
        <v>20</v>
      </c>
      <c r="G43" s="176" t="s">
        <v>18</v>
      </c>
      <c r="H43" s="177" t="s">
        <v>19</v>
      </c>
      <c r="I43" s="176" t="s">
        <v>18</v>
      </c>
      <c r="J43" s="177" t="s">
        <v>20</v>
      </c>
      <c r="O43" s="174"/>
      <c r="P43" s="174" t="s">
        <v>21</v>
      </c>
      <c r="Q43" s="174" t="s">
        <v>22</v>
      </c>
    </row>
    <row r="44" spans="1:17" ht="18" customHeight="1" thickTop="1">
      <c r="A44" s="205"/>
      <c r="B44" s="192"/>
      <c r="C44" s="193"/>
      <c r="D44" s="198"/>
      <c r="E44" s="193"/>
      <c r="F44" s="199"/>
      <c r="G44" s="198"/>
      <c r="H44" s="193"/>
      <c r="I44" s="198"/>
      <c r="J44" s="193"/>
      <c r="O44" s="174" t="s">
        <v>24</v>
      </c>
      <c r="P44" s="178">
        <f>B44*C44+D44*E44</f>
        <v>0</v>
      </c>
      <c r="Q44" s="178">
        <f>G44*H44+I44*J44</f>
        <v>0</v>
      </c>
    </row>
    <row r="45" spans="1:17" ht="18" customHeight="1">
      <c r="A45" s="206"/>
      <c r="B45" s="194"/>
      <c r="C45" s="195"/>
      <c r="D45" s="194"/>
      <c r="E45" s="195"/>
      <c r="F45" s="199"/>
      <c r="G45" s="194"/>
      <c r="H45" s="195"/>
      <c r="I45" s="194"/>
      <c r="J45" s="195"/>
      <c r="O45" s="174" t="s">
        <v>26</v>
      </c>
      <c r="P45" s="178">
        <f t="shared" ref="P45:P49" si="2">B45*C45+D45*E45</f>
        <v>0</v>
      </c>
      <c r="Q45" s="178">
        <f t="shared" ref="Q45:Q55" si="3">G45*H45+I45*J45</f>
        <v>0</v>
      </c>
    </row>
    <row r="46" spans="1:17" ht="18" customHeight="1">
      <c r="A46" s="206"/>
      <c r="B46" s="194"/>
      <c r="C46" s="195"/>
      <c r="D46" s="194"/>
      <c r="E46" s="195"/>
      <c r="F46" s="199"/>
      <c r="G46" s="194"/>
      <c r="H46" s="195"/>
      <c r="I46" s="194"/>
      <c r="J46" s="195"/>
      <c r="O46" s="174" t="s">
        <v>28</v>
      </c>
      <c r="P46" s="178">
        <f t="shared" si="2"/>
        <v>0</v>
      </c>
      <c r="Q46" s="178">
        <f t="shared" si="3"/>
        <v>0</v>
      </c>
    </row>
    <row r="47" spans="1:17" ht="18" customHeight="1">
      <c r="A47" s="206"/>
      <c r="B47" s="194"/>
      <c r="C47" s="195"/>
      <c r="D47" s="194"/>
      <c r="E47" s="195"/>
      <c r="F47" s="199"/>
      <c r="G47" s="194"/>
      <c r="H47" s="195"/>
      <c r="I47" s="194"/>
      <c r="J47" s="195"/>
      <c r="O47" s="174" t="s">
        <v>30</v>
      </c>
      <c r="P47" s="178">
        <f t="shared" si="2"/>
        <v>0</v>
      </c>
      <c r="Q47" s="178">
        <f t="shared" si="3"/>
        <v>0</v>
      </c>
    </row>
    <row r="48" spans="1:17" ht="18" customHeight="1">
      <c r="A48" s="206"/>
      <c r="B48" s="194"/>
      <c r="C48" s="195"/>
      <c r="D48" s="194"/>
      <c r="E48" s="195"/>
      <c r="F48" s="199"/>
      <c r="G48" s="194"/>
      <c r="H48" s="195"/>
      <c r="I48" s="194"/>
      <c r="J48" s="195"/>
      <c r="O48" s="174" t="s">
        <v>32</v>
      </c>
      <c r="P48" s="178">
        <f t="shared" si="2"/>
        <v>0</v>
      </c>
      <c r="Q48" s="178">
        <f t="shared" si="3"/>
        <v>0</v>
      </c>
    </row>
    <row r="49" spans="1:17" ht="18" customHeight="1">
      <c r="A49" s="206"/>
      <c r="B49" s="194"/>
      <c r="C49" s="195"/>
      <c r="D49" s="194"/>
      <c r="E49" s="195"/>
      <c r="F49" s="199"/>
      <c r="G49" s="194"/>
      <c r="H49" s="195"/>
      <c r="I49" s="194"/>
      <c r="J49" s="195"/>
      <c r="O49" s="174" t="s">
        <v>34</v>
      </c>
      <c r="P49" s="178">
        <f t="shared" si="2"/>
        <v>0</v>
      </c>
      <c r="Q49" s="178">
        <f t="shared" si="3"/>
        <v>0</v>
      </c>
    </row>
    <row r="50" spans="1:17" ht="18" customHeight="1">
      <c r="A50" s="206"/>
      <c r="B50" s="194"/>
      <c r="C50" s="195"/>
      <c r="D50" s="194"/>
      <c r="E50" s="195"/>
      <c r="F50" s="199"/>
      <c r="G50" s="194"/>
      <c r="H50" s="195"/>
      <c r="I50" s="194"/>
      <c r="J50" s="195"/>
      <c r="O50" s="174" t="s">
        <v>36</v>
      </c>
      <c r="P50" s="178">
        <f>B50*C50+D50*E50</f>
        <v>0</v>
      </c>
      <c r="Q50" s="178">
        <f t="shared" si="3"/>
        <v>0</v>
      </c>
    </row>
    <row r="51" spans="1:17" ht="18" customHeight="1">
      <c r="A51" s="206"/>
      <c r="B51" s="194"/>
      <c r="C51" s="195"/>
      <c r="D51" s="194"/>
      <c r="E51" s="195"/>
      <c r="F51" s="199"/>
      <c r="G51" s="194"/>
      <c r="H51" s="195"/>
      <c r="I51" s="194"/>
      <c r="J51" s="195"/>
      <c r="O51" s="174" t="s">
        <v>38</v>
      </c>
      <c r="P51" s="178">
        <f t="shared" ref="P51:P55" si="4">B51*C51+D51*E51</f>
        <v>0</v>
      </c>
      <c r="Q51" s="178">
        <f t="shared" si="3"/>
        <v>0</v>
      </c>
    </row>
    <row r="52" spans="1:17" ht="18" customHeight="1">
      <c r="A52" s="206"/>
      <c r="B52" s="194"/>
      <c r="C52" s="195"/>
      <c r="D52" s="194"/>
      <c r="E52" s="195"/>
      <c r="F52" s="199"/>
      <c r="G52" s="194"/>
      <c r="H52" s="195"/>
      <c r="I52" s="194"/>
      <c r="J52" s="195"/>
      <c r="O52" s="174" t="s">
        <v>40</v>
      </c>
      <c r="P52" s="178">
        <f t="shared" si="4"/>
        <v>0</v>
      </c>
      <c r="Q52" s="178">
        <f t="shared" si="3"/>
        <v>0</v>
      </c>
    </row>
    <row r="53" spans="1:17" ht="18" customHeight="1">
      <c r="A53" s="206"/>
      <c r="B53" s="194"/>
      <c r="C53" s="195"/>
      <c r="D53" s="194"/>
      <c r="E53" s="195"/>
      <c r="F53" s="199"/>
      <c r="G53" s="194"/>
      <c r="H53" s="195"/>
      <c r="I53" s="194"/>
      <c r="J53" s="195"/>
      <c r="O53" s="174" t="s">
        <v>42</v>
      </c>
      <c r="P53" s="178">
        <f t="shared" si="4"/>
        <v>0</v>
      </c>
      <c r="Q53" s="178">
        <f t="shared" si="3"/>
        <v>0</v>
      </c>
    </row>
    <row r="54" spans="1:17" ht="18" customHeight="1">
      <c r="A54" s="207"/>
      <c r="B54" s="194"/>
      <c r="C54" s="195"/>
      <c r="D54" s="194"/>
      <c r="E54" s="195"/>
      <c r="F54" s="199"/>
      <c r="G54" s="194"/>
      <c r="H54" s="195"/>
      <c r="I54" s="194"/>
      <c r="J54" s="195"/>
      <c r="O54" s="174" t="s">
        <v>44</v>
      </c>
      <c r="P54" s="178">
        <f t="shared" si="4"/>
        <v>0</v>
      </c>
      <c r="Q54" s="178">
        <f t="shared" si="3"/>
        <v>0</v>
      </c>
    </row>
    <row r="55" spans="1:17" ht="18" customHeight="1" thickBot="1">
      <c r="A55" s="208"/>
      <c r="B55" s="196"/>
      <c r="C55" s="197"/>
      <c r="D55" s="196"/>
      <c r="E55" s="197"/>
      <c r="F55" s="199"/>
      <c r="G55" s="196"/>
      <c r="H55" s="197"/>
      <c r="I55" s="196"/>
      <c r="J55" s="197"/>
      <c r="O55" s="174" t="s">
        <v>46</v>
      </c>
      <c r="P55" s="178">
        <f t="shared" si="4"/>
        <v>0</v>
      </c>
      <c r="Q55" s="178">
        <f t="shared" si="3"/>
        <v>0</v>
      </c>
    </row>
    <row r="56" spans="1:17" ht="18" customHeight="1" thickTop="1">
      <c r="A56" s="182" t="s">
        <v>47</v>
      </c>
      <c r="C56" s="183">
        <f>SUM(C44:C55)</f>
        <v>0</v>
      </c>
      <c r="E56" s="183">
        <f>SUM(E44:E55)</f>
        <v>0</v>
      </c>
      <c r="H56" s="183">
        <f>SUM(H44:H55)</f>
        <v>0</v>
      </c>
      <c r="J56" s="183">
        <f>SUM(J44:J55)</f>
        <v>0</v>
      </c>
      <c r="O56" s="184" t="s">
        <v>47</v>
      </c>
      <c r="P56" s="185">
        <f>SUM(P44:P55)</f>
        <v>0</v>
      </c>
      <c r="Q56" s="185">
        <f>SUM(Q44:Q55)</f>
        <v>0</v>
      </c>
    </row>
    <row r="57" spans="1:17" ht="41" customHeight="1" thickBot="1">
      <c r="A57" s="284" t="s">
        <v>48</v>
      </c>
      <c r="B57" s="284"/>
      <c r="C57" s="284"/>
      <c r="D57" s="284"/>
      <c r="E57" s="284"/>
      <c r="F57" s="284"/>
      <c r="G57" s="284"/>
      <c r="H57" s="284"/>
      <c r="I57" s="284"/>
      <c r="J57" s="284"/>
    </row>
    <row r="58" spans="1:17" ht="18" customHeight="1" thickTop="1">
      <c r="A58" s="272" t="s">
        <v>49</v>
      </c>
      <c r="B58" s="273"/>
      <c r="C58" s="274">
        <f>C60*C59</f>
        <v>0</v>
      </c>
      <c r="D58" s="275"/>
      <c r="G58" s="280" t="s">
        <v>50</v>
      </c>
      <c r="H58" s="281"/>
      <c r="I58" s="274">
        <f>P56+C58+Q56</f>
        <v>0</v>
      </c>
      <c r="J58" s="275"/>
      <c r="K58" s="191"/>
      <c r="N58" s="188" t="e">
        <v>#N/A</v>
      </c>
    </row>
    <row r="59" spans="1:17" ht="18" customHeight="1">
      <c r="A59" s="264" t="s">
        <v>51</v>
      </c>
      <c r="B59" s="265"/>
      <c r="C59" s="276"/>
      <c r="D59" s="277"/>
      <c r="G59" s="264" t="s">
        <v>52</v>
      </c>
      <c r="H59" s="265"/>
      <c r="I59" s="266">
        <f>SUM(C44:C55,E44:E55,H44:H55,J44:J55)</f>
        <v>0</v>
      </c>
      <c r="J59" s="267"/>
    </row>
    <row r="60" spans="1:17" ht="18" customHeight="1" thickBot="1">
      <c r="A60" s="268" t="s">
        <v>53</v>
      </c>
      <c r="B60" s="269"/>
      <c r="C60" s="278"/>
      <c r="D60" s="279"/>
      <c r="G60" s="268" t="s">
        <v>53</v>
      </c>
      <c r="H60" s="269"/>
      <c r="I60" s="270" t="e">
        <f>I58/I59</f>
        <v>#DIV/0!</v>
      </c>
      <c r="J60" s="271"/>
    </row>
    <row r="61" spans="1:17" ht="18" customHeight="1" thickTop="1">
      <c r="I61" s="190"/>
      <c r="J61" s="190"/>
    </row>
    <row r="62" spans="1:17" ht="18" customHeight="1">
      <c r="I62" s="190"/>
      <c r="J62" s="190"/>
    </row>
    <row r="63" spans="1:17" ht="18" customHeight="1">
      <c r="I63" s="190"/>
      <c r="J63" s="190"/>
    </row>
    <row r="64" spans="1:17" ht="18" customHeight="1">
      <c r="A64" s="171" t="s">
        <v>56</v>
      </c>
      <c r="B64" s="151"/>
      <c r="C64" s="151"/>
      <c r="D64" s="151"/>
      <c r="E64" s="151"/>
      <c r="F64" s="151"/>
      <c r="G64" s="151"/>
      <c r="H64" s="151"/>
      <c r="I64" s="151"/>
      <c r="J64" s="151"/>
    </row>
    <row r="65" spans="1:17" ht="18" customHeight="1" thickBot="1">
      <c r="D65" s="151"/>
      <c r="E65" s="151"/>
      <c r="F65" s="151"/>
      <c r="G65" s="151"/>
      <c r="H65" s="151"/>
      <c r="I65" s="151"/>
      <c r="J65" s="151"/>
    </row>
    <row r="66" spans="1:17" ht="18" customHeight="1" thickTop="1" thickBot="1">
      <c r="A66" s="172"/>
      <c r="B66" s="280" t="s">
        <v>14</v>
      </c>
      <c r="C66" s="281"/>
      <c r="D66" s="281"/>
      <c r="E66" s="282"/>
      <c r="F66" s="173"/>
      <c r="G66" s="280" t="s">
        <v>15</v>
      </c>
      <c r="H66" s="281"/>
      <c r="I66" s="281"/>
      <c r="J66" s="282"/>
      <c r="P66" s="283" t="s">
        <v>57</v>
      </c>
      <c r="Q66" s="283"/>
    </row>
    <row r="67" spans="1:17" ht="15" thickTop="1" thickBot="1">
      <c r="A67" s="175" t="s">
        <v>17</v>
      </c>
      <c r="B67" s="176" t="s">
        <v>18</v>
      </c>
      <c r="C67" s="177" t="s">
        <v>19</v>
      </c>
      <c r="D67" s="176" t="s">
        <v>18</v>
      </c>
      <c r="E67" s="177" t="s">
        <v>20</v>
      </c>
      <c r="G67" s="176" t="s">
        <v>18</v>
      </c>
      <c r="H67" s="177" t="s">
        <v>19</v>
      </c>
      <c r="I67" s="176" t="s">
        <v>18</v>
      </c>
      <c r="J67" s="177" t="s">
        <v>20</v>
      </c>
      <c r="O67" s="174"/>
      <c r="P67" s="174" t="s">
        <v>21</v>
      </c>
      <c r="Q67" s="174" t="s">
        <v>22</v>
      </c>
    </row>
    <row r="68" spans="1:17" ht="14" thickTop="1">
      <c r="A68" s="205"/>
      <c r="B68" s="192"/>
      <c r="C68" s="193"/>
      <c r="D68" s="198"/>
      <c r="E68" s="193"/>
      <c r="F68" s="199"/>
      <c r="G68" s="198"/>
      <c r="H68" s="193"/>
      <c r="I68" s="198"/>
      <c r="J68" s="193"/>
      <c r="O68" s="174" t="s">
        <v>24</v>
      </c>
      <c r="P68" s="178">
        <f>B68*C68+D68*E68</f>
        <v>0</v>
      </c>
      <c r="Q68" s="178">
        <f>G68*H68+I68*J68</f>
        <v>0</v>
      </c>
    </row>
    <row r="69" spans="1:17">
      <c r="A69" s="206"/>
      <c r="B69" s="194"/>
      <c r="C69" s="195"/>
      <c r="D69" s="194"/>
      <c r="E69" s="195"/>
      <c r="F69" s="199"/>
      <c r="G69" s="194"/>
      <c r="H69" s="195"/>
      <c r="I69" s="194"/>
      <c r="J69" s="195"/>
      <c r="O69" s="174" t="s">
        <v>26</v>
      </c>
      <c r="P69" s="178">
        <f t="shared" ref="P69:P73" si="5">B69*C69+D69*E69</f>
        <v>0</v>
      </c>
      <c r="Q69" s="178">
        <f t="shared" ref="Q69:Q79" si="6">G69*H69+I69*J69</f>
        <v>0</v>
      </c>
    </row>
    <row r="70" spans="1:17">
      <c r="A70" s="206"/>
      <c r="B70" s="194"/>
      <c r="C70" s="195"/>
      <c r="D70" s="194"/>
      <c r="E70" s="195"/>
      <c r="F70" s="199"/>
      <c r="G70" s="194"/>
      <c r="H70" s="195"/>
      <c r="I70" s="194"/>
      <c r="J70" s="195"/>
      <c r="O70" s="174" t="s">
        <v>28</v>
      </c>
      <c r="P70" s="178">
        <f t="shared" si="5"/>
        <v>0</v>
      </c>
      <c r="Q70" s="178">
        <f t="shared" si="6"/>
        <v>0</v>
      </c>
    </row>
    <row r="71" spans="1:17">
      <c r="A71" s="206"/>
      <c r="B71" s="194"/>
      <c r="C71" s="195"/>
      <c r="D71" s="194"/>
      <c r="E71" s="195"/>
      <c r="F71" s="199"/>
      <c r="G71" s="194"/>
      <c r="H71" s="195"/>
      <c r="I71" s="194"/>
      <c r="J71" s="195"/>
      <c r="O71" s="174" t="s">
        <v>30</v>
      </c>
      <c r="P71" s="178">
        <f t="shared" si="5"/>
        <v>0</v>
      </c>
      <c r="Q71" s="178">
        <f t="shared" si="6"/>
        <v>0</v>
      </c>
    </row>
    <row r="72" spans="1:17">
      <c r="A72" s="206"/>
      <c r="B72" s="194"/>
      <c r="C72" s="195"/>
      <c r="D72" s="194"/>
      <c r="E72" s="195"/>
      <c r="F72" s="199"/>
      <c r="G72" s="194"/>
      <c r="H72" s="195"/>
      <c r="I72" s="194"/>
      <c r="J72" s="195"/>
      <c r="O72" s="174" t="s">
        <v>32</v>
      </c>
      <c r="P72" s="178">
        <f t="shared" si="5"/>
        <v>0</v>
      </c>
      <c r="Q72" s="178">
        <f t="shared" si="6"/>
        <v>0</v>
      </c>
    </row>
    <row r="73" spans="1:17">
      <c r="A73" s="206"/>
      <c r="B73" s="194"/>
      <c r="C73" s="195"/>
      <c r="D73" s="194"/>
      <c r="E73" s="195"/>
      <c r="F73" s="199"/>
      <c r="G73" s="194"/>
      <c r="H73" s="195"/>
      <c r="I73" s="194"/>
      <c r="J73" s="195"/>
      <c r="O73" s="174" t="s">
        <v>34</v>
      </c>
      <c r="P73" s="178">
        <f t="shared" si="5"/>
        <v>0</v>
      </c>
      <c r="Q73" s="178">
        <f t="shared" si="6"/>
        <v>0</v>
      </c>
    </row>
    <row r="74" spans="1:17">
      <c r="A74" s="206"/>
      <c r="B74" s="194"/>
      <c r="C74" s="195"/>
      <c r="D74" s="194"/>
      <c r="E74" s="195"/>
      <c r="F74" s="199"/>
      <c r="G74" s="194"/>
      <c r="H74" s="195"/>
      <c r="I74" s="194"/>
      <c r="J74" s="195"/>
      <c r="O74" s="174" t="s">
        <v>36</v>
      </c>
      <c r="P74" s="178">
        <f>B74*C74+D74*E74</f>
        <v>0</v>
      </c>
      <c r="Q74" s="178">
        <f t="shared" si="6"/>
        <v>0</v>
      </c>
    </row>
    <row r="75" spans="1:17">
      <c r="A75" s="206"/>
      <c r="B75" s="194"/>
      <c r="C75" s="195"/>
      <c r="D75" s="194"/>
      <c r="E75" s="195"/>
      <c r="F75" s="199"/>
      <c r="G75" s="194"/>
      <c r="H75" s="195"/>
      <c r="I75" s="194"/>
      <c r="J75" s="195"/>
      <c r="O75" s="174" t="s">
        <v>38</v>
      </c>
      <c r="P75" s="178">
        <f t="shared" ref="P75:P79" si="7">B75*C75+D75*E75</f>
        <v>0</v>
      </c>
      <c r="Q75" s="178">
        <f t="shared" si="6"/>
        <v>0</v>
      </c>
    </row>
    <row r="76" spans="1:17">
      <c r="A76" s="206"/>
      <c r="B76" s="194"/>
      <c r="C76" s="195"/>
      <c r="D76" s="194"/>
      <c r="E76" s="195"/>
      <c r="F76" s="199"/>
      <c r="G76" s="194"/>
      <c r="H76" s="195"/>
      <c r="I76" s="194"/>
      <c r="J76" s="195"/>
      <c r="O76" s="174" t="s">
        <v>40</v>
      </c>
      <c r="P76" s="178">
        <f t="shared" si="7"/>
        <v>0</v>
      </c>
      <c r="Q76" s="178">
        <f t="shared" si="6"/>
        <v>0</v>
      </c>
    </row>
    <row r="77" spans="1:17">
      <c r="A77" s="206"/>
      <c r="B77" s="194"/>
      <c r="C77" s="195"/>
      <c r="D77" s="194"/>
      <c r="E77" s="195"/>
      <c r="F77" s="199"/>
      <c r="G77" s="194"/>
      <c r="H77" s="195"/>
      <c r="I77" s="194"/>
      <c r="J77" s="195"/>
      <c r="O77" s="174" t="s">
        <v>42</v>
      </c>
      <c r="P77" s="178">
        <f t="shared" si="7"/>
        <v>0</v>
      </c>
      <c r="Q77" s="178">
        <f t="shared" si="6"/>
        <v>0</v>
      </c>
    </row>
    <row r="78" spans="1:17">
      <c r="A78" s="207"/>
      <c r="B78" s="194"/>
      <c r="C78" s="195"/>
      <c r="D78" s="194"/>
      <c r="E78" s="195"/>
      <c r="F78" s="199"/>
      <c r="G78" s="194"/>
      <c r="H78" s="195"/>
      <c r="I78" s="194"/>
      <c r="J78" s="195"/>
      <c r="O78" s="174" t="s">
        <v>44</v>
      </c>
      <c r="P78" s="178">
        <f t="shared" si="7"/>
        <v>0</v>
      </c>
      <c r="Q78" s="178">
        <f t="shared" si="6"/>
        <v>0</v>
      </c>
    </row>
    <row r="79" spans="1:17" ht="14" thickBot="1">
      <c r="A79" s="208"/>
      <c r="B79" s="196"/>
      <c r="C79" s="197"/>
      <c r="D79" s="196"/>
      <c r="E79" s="197"/>
      <c r="F79" s="199"/>
      <c r="G79" s="196"/>
      <c r="H79" s="197"/>
      <c r="I79" s="196"/>
      <c r="J79" s="197"/>
      <c r="O79" s="174" t="s">
        <v>46</v>
      </c>
      <c r="P79" s="178">
        <f t="shared" si="7"/>
        <v>0</v>
      </c>
      <c r="Q79" s="178">
        <f t="shared" si="6"/>
        <v>0</v>
      </c>
    </row>
    <row r="80" spans="1:17" ht="14" thickTop="1">
      <c r="A80" s="182" t="s">
        <v>47</v>
      </c>
      <c r="C80" s="183">
        <v>0</v>
      </c>
      <c r="E80" s="183">
        <v>0</v>
      </c>
      <c r="H80" s="183">
        <v>0</v>
      </c>
      <c r="J80" s="183">
        <v>0</v>
      </c>
      <c r="O80" s="184" t="s">
        <v>47</v>
      </c>
      <c r="P80" s="185">
        <f>SUM(P68:P79)</f>
        <v>0</v>
      </c>
      <c r="Q80" s="185">
        <f>SUM(Q68:Q79)</f>
        <v>0</v>
      </c>
    </row>
    <row r="81" spans="1:17" ht="14" thickBot="1">
      <c r="A81" s="284" t="s">
        <v>48</v>
      </c>
      <c r="B81" s="284"/>
      <c r="C81" s="284"/>
      <c r="D81" s="284"/>
      <c r="E81" s="284"/>
      <c r="F81" s="284"/>
      <c r="G81" s="284"/>
      <c r="H81" s="284"/>
      <c r="I81" s="284"/>
      <c r="J81" s="284"/>
    </row>
    <row r="82" spans="1:17" ht="14" thickTop="1">
      <c r="A82" s="272" t="s">
        <v>49</v>
      </c>
      <c r="B82" s="273"/>
      <c r="C82" s="274">
        <f>C84*C83</f>
        <v>0</v>
      </c>
      <c r="D82" s="275"/>
      <c r="G82" s="280" t="s">
        <v>50</v>
      </c>
      <c r="H82" s="281"/>
      <c r="I82" s="274">
        <f>P80+C82</f>
        <v>0</v>
      </c>
      <c r="J82" s="275"/>
    </row>
    <row r="83" spans="1:17">
      <c r="A83" s="264" t="s">
        <v>51</v>
      </c>
      <c r="B83" s="265"/>
      <c r="C83" s="276"/>
      <c r="D83" s="277"/>
      <c r="G83" s="264" t="s">
        <v>52</v>
      </c>
      <c r="H83" s="265"/>
      <c r="I83" s="266">
        <f>SUM(C68:C79,E68:E79,H68:H79,J68:J79)</f>
        <v>0</v>
      </c>
      <c r="J83" s="267"/>
    </row>
    <row r="84" spans="1:17" ht="14" thickBot="1">
      <c r="A84" s="268" t="s">
        <v>53</v>
      </c>
      <c r="B84" s="269"/>
      <c r="C84" s="278"/>
      <c r="D84" s="279"/>
      <c r="G84" s="268" t="s">
        <v>53</v>
      </c>
      <c r="H84" s="269"/>
      <c r="I84" s="270" t="e">
        <f>I82/I83</f>
        <v>#DIV/0!</v>
      </c>
      <c r="J84" s="271"/>
    </row>
    <row r="85" spans="1:17" ht="14" thickTop="1">
      <c r="I85" s="190"/>
      <c r="J85" s="190"/>
    </row>
    <row r="86" spans="1:17">
      <c r="I86" s="190"/>
      <c r="J86" s="190"/>
    </row>
    <row r="87" spans="1:17">
      <c r="I87" s="190"/>
      <c r="J87" s="190"/>
    </row>
    <row r="88" spans="1:17" ht="16">
      <c r="A88" s="171" t="s">
        <v>58</v>
      </c>
    </row>
    <row r="89" spans="1:17" ht="14" thickBot="1">
      <c r="B89" s="151"/>
      <c r="C89" s="151"/>
      <c r="D89" s="151"/>
      <c r="E89" s="151"/>
      <c r="F89" s="151"/>
      <c r="G89" s="151"/>
      <c r="H89" s="151"/>
      <c r="I89" s="151"/>
      <c r="J89" s="151"/>
    </row>
    <row r="90" spans="1:17" ht="15" thickTop="1" thickBot="1">
      <c r="A90" s="172"/>
      <c r="B90" s="280" t="s">
        <v>14</v>
      </c>
      <c r="C90" s="281"/>
      <c r="D90" s="281"/>
      <c r="E90" s="282"/>
      <c r="F90" s="173"/>
      <c r="G90" s="280" t="s">
        <v>15</v>
      </c>
      <c r="H90" s="281"/>
      <c r="I90" s="281"/>
      <c r="J90" s="282"/>
      <c r="P90" s="283" t="s">
        <v>59</v>
      </c>
      <c r="Q90" s="283"/>
    </row>
    <row r="91" spans="1:17" ht="15" thickTop="1" thickBot="1">
      <c r="A91" s="175" t="s">
        <v>17</v>
      </c>
      <c r="B91" s="176" t="s">
        <v>18</v>
      </c>
      <c r="C91" s="177" t="s">
        <v>19</v>
      </c>
      <c r="D91" s="176" t="s">
        <v>18</v>
      </c>
      <c r="E91" s="177" t="s">
        <v>20</v>
      </c>
      <c r="G91" s="176" t="s">
        <v>18</v>
      </c>
      <c r="H91" s="177" t="s">
        <v>19</v>
      </c>
      <c r="I91" s="176" t="s">
        <v>18</v>
      </c>
      <c r="J91" s="177" t="s">
        <v>20</v>
      </c>
      <c r="O91" s="174"/>
      <c r="P91" s="174" t="s">
        <v>21</v>
      </c>
      <c r="Q91" s="174" t="s">
        <v>22</v>
      </c>
    </row>
    <row r="92" spans="1:17" ht="14" thickTop="1">
      <c r="A92" s="205"/>
      <c r="B92" s="192"/>
      <c r="C92" s="193"/>
      <c r="D92" s="198"/>
      <c r="E92" s="193"/>
      <c r="F92" s="199"/>
      <c r="G92" s="198"/>
      <c r="H92" s="193"/>
      <c r="I92" s="198"/>
      <c r="J92" s="193"/>
      <c r="O92" s="174" t="s">
        <v>24</v>
      </c>
      <c r="P92" s="178">
        <f>B92*C92+D92*E92</f>
        <v>0</v>
      </c>
      <c r="Q92" s="178">
        <f>G92*H92+I92*J92</f>
        <v>0</v>
      </c>
    </row>
    <row r="93" spans="1:17">
      <c r="A93" s="206"/>
      <c r="B93" s="194"/>
      <c r="C93" s="195"/>
      <c r="D93" s="194"/>
      <c r="E93" s="195"/>
      <c r="F93" s="199"/>
      <c r="G93" s="194"/>
      <c r="H93" s="195"/>
      <c r="I93" s="194"/>
      <c r="J93" s="195"/>
      <c r="O93" s="174" t="s">
        <v>26</v>
      </c>
      <c r="P93" s="178">
        <f t="shared" ref="P93:P97" si="8">B93*C93+D93*E93</f>
        <v>0</v>
      </c>
      <c r="Q93" s="178">
        <f t="shared" ref="Q93:Q103" si="9">G93*H93+I93*J93</f>
        <v>0</v>
      </c>
    </row>
    <row r="94" spans="1:17">
      <c r="A94" s="206"/>
      <c r="B94" s="194"/>
      <c r="C94" s="195"/>
      <c r="D94" s="194"/>
      <c r="E94" s="195"/>
      <c r="F94" s="199"/>
      <c r="G94" s="194"/>
      <c r="H94" s="195"/>
      <c r="I94" s="194"/>
      <c r="J94" s="195"/>
      <c r="O94" s="174" t="s">
        <v>28</v>
      </c>
      <c r="P94" s="178">
        <f t="shared" si="8"/>
        <v>0</v>
      </c>
      <c r="Q94" s="178">
        <f t="shared" si="9"/>
        <v>0</v>
      </c>
    </row>
    <row r="95" spans="1:17">
      <c r="A95" s="206"/>
      <c r="B95" s="194"/>
      <c r="C95" s="195"/>
      <c r="D95" s="194"/>
      <c r="E95" s="195"/>
      <c r="F95" s="199"/>
      <c r="G95" s="194"/>
      <c r="H95" s="195"/>
      <c r="I95" s="194"/>
      <c r="J95" s="195"/>
      <c r="O95" s="174" t="s">
        <v>30</v>
      </c>
      <c r="P95" s="178">
        <f t="shared" si="8"/>
        <v>0</v>
      </c>
      <c r="Q95" s="178">
        <f t="shared" si="9"/>
        <v>0</v>
      </c>
    </row>
    <row r="96" spans="1:17">
      <c r="A96" s="206"/>
      <c r="B96" s="194"/>
      <c r="C96" s="195"/>
      <c r="D96" s="194"/>
      <c r="E96" s="195"/>
      <c r="F96" s="199"/>
      <c r="G96" s="194"/>
      <c r="H96" s="195"/>
      <c r="I96" s="194"/>
      <c r="J96" s="195"/>
      <c r="O96" s="174" t="s">
        <v>32</v>
      </c>
      <c r="P96" s="178">
        <f t="shared" si="8"/>
        <v>0</v>
      </c>
      <c r="Q96" s="178">
        <f t="shared" si="9"/>
        <v>0</v>
      </c>
    </row>
    <row r="97" spans="1:17">
      <c r="A97" s="206"/>
      <c r="B97" s="194"/>
      <c r="C97" s="195"/>
      <c r="D97" s="194"/>
      <c r="E97" s="195"/>
      <c r="F97" s="199"/>
      <c r="G97" s="194"/>
      <c r="H97" s="195"/>
      <c r="I97" s="194"/>
      <c r="J97" s="195"/>
      <c r="O97" s="174" t="s">
        <v>34</v>
      </c>
      <c r="P97" s="178">
        <f t="shared" si="8"/>
        <v>0</v>
      </c>
      <c r="Q97" s="178">
        <f t="shared" si="9"/>
        <v>0</v>
      </c>
    </row>
    <row r="98" spans="1:17">
      <c r="A98" s="206"/>
      <c r="B98" s="194"/>
      <c r="C98" s="195"/>
      <c r="D98" s="194"/>
      <c r="E98" s="195"/>
      <c r="F98" s="199"/>
      <c r="G98" s="194"/>
      <c r="H98" s="195"/>
      <c r="I98" s="194"/>
      <c r="J98" s="195"/>
      <c r="O98" s="174" t="s">
        <v>36</v>
      </c>
      <c r="P98" s="178">
        <f>B98*C98+D98*E98</f>
        <v>0</v>
      </c>
      <c r="Q98" s="178">
        <f t="shared" si="9"/>
        <v>0</v>
      </c>
    </row>
    <row r="99" spans="1:17">
      <c r="A99" s="206"/>
      <c r="B99" s="194"/>
      <c r="C99" s="195"/>
      <c r="D99" s="194"/>
      <c r="E99" s="195"/>
      <c r="F99" s="199"/>
      <c r="G99" s="194"/>
      <c r="H99" s="195"/>
      <c r="I99" s="194"/>
      <c r="J99" s="195"/>
      <c r="O99" s="174" t="s">
        <v>38</v>
      </c>
      <c r="P99" s="178">
        <f t="shared" ref="P99:P103" si="10">B99*C99+D99*E99</f>
        <v>0</v>
      </c>
      <c r="Q99" s="178">
        <f t="shared" si="9"/>
        <v>0</v>
      </c>
    </row>
    <row r="100" spans="1:17">
      <c r="A100" s="206"/>
      <c r="B100" s="194"/>
      <c r="C100" s="195"/>
      <c r="D100" s="194"/>
      <c r="E100" s="195"/>
      <c r="F100" s="199"/>
      <c r="G100" s="194"/>
      <c r="H100" s="195"/>
      <c r="I100" s="194"/>
      <c r="J100" s="195"/>
      <c r="O100" s="174" t="s">
        <v>40</v>
      </c>
      <c r="P100" s="178">
        <f t="shared" si="10"/>
        <v>0</v>
      </c>
      <c r="Q100" s="178">
        <f t="shared" si="9"/>
        <v>0</v>
      </c>
    </row>
    <row r="101" spans="1:17">
      <c r="A101" s="206"/>
      <c r="B101" s="194"/>
      <c r="C101" s="195"/>
      <c r="D101" s="194"/>
      <c r="E101" s="195"/>
      <c r="F101" s="199"/>
      <c r="G101" s="194"/>
      <c r="H101" s="195"/>
      <c r="I101" s="194"/>
      <c r="J101" s="195"/>
      <c r="O101" s="174" t="s">
        <v>42</v>
      </c>
      <c r="P101" s="178">
        <f t="shared" si="10"/>
        <v>0</v>
      </c>
      <c r="Q101" s="178">
        <f t="shared" si="9"/>
        <v>0</v>
      </c>
    </row>
    <row r="102" spans="1:17">
      <c r="A102" s="207"/>
      <c r="B102" s="194"/>
      <c r="C102" s="195"/>
      <c r="D102" s="194"/>
      <c r="E102" s="195"/>
      <c r="F102" s="199"/>
      <c r="G102" s="194"/>
      <c r="H102" s="195"/>
      <c r="I102" s="194"/>
      <c r="J102" s="195"/>
      <c r="O102" s="174" t="s">
        <v>44</v>
      </c>
      <c r="P102" s="178">
        <f t="shared" si="10"/>
        <v>0</v>
      </c>
      <c r="Q102" s="178">
        <f t="shared" si="9"/>
        <v>0</v>
      </c>
    </row>
    <row r="103" spans="1:17" ht="14" thickBot="1">
      <c r="A103" s="208"/>
      <c r="B103" s="196"/>
      <c r="C103" s="197"/>
      <c r="D103" s="196"/>
      <c r="E103" s="197"/>
      <c r="F103" s="199"/>
      <c r="G103" s="196"/>
      <c r="H103" s="197"/>
      <c r="I103" s="196"/>
      <c r="J103" s="197"/>
      <c r="O103" s="174" t="s">
        <v>46</v>
      </c>
      <c r="P103" s="178">
        <f t="shared" si="10"/>
        <v>0</v>
      </c>
      <c r="Q103" s="178">
        <f t="shared" si="9"/>
        <v>0</v>
      </c>
    </row>
    <row r="104" spans="1:17" ht="14" thickTop="1">
      <c r="A104" s="182" t="s">
        <v>47</v>
      </c>
      <c r="C104" s="183">
        <v>0</v>
      </c>
      <c r="E104" s="183">
        <v>0</v>
      </c>
      <c r="H104" s="183">
        <v>0</v>
      </c>
      <c r="J104" s="183">
        <v>0</v>
      </c>
      <c r="O104" s="184" t="s">
        <v>47</v>
      </c>
      <c r="P104" s="185">
        <f>SUM(P92:P103)</f>
        <v>0</v>
      </c>
      <c r="Q104" s="185">
        <f>SUM(Q92:Q103)</f>
        <v>0</v>
      </c>
    </row>
    <row r="105" spans="1:17" ht="14" thickBot="1">
      <c r="A105" s="284" t="s">
        <v>48</v>
      </c>
      <c r="B105" s="284"/>
      <c r="C105" s="284"/>
      <c r="D105" s="284"/>
      <c r="E105" s="284"/>
      <c r="F105" s="284"/>
      <c r="G105" s="284"/>
      <c r="H105" s="284"/>
      <c r="I105" s="284"/>
      <c r="J105" s="284"/>
    </row>
    <row r="106" spans="1:17" ht="14" thickTop="1">
      <c r="A106" s="272" t="s">
        <v>49</v>
      </c>
      <c r="B106" s="273"/>
      <c r="C106" s="274">
        <f>C108*C107</f>
        <v>0</v>
      </c>
      <c r="D106" s="275"/>
      <c r="G106" s="280" t="s">
        <v>50</v>
      </c>
      <c r="H106" s="281"/>
      <c r="I106" s="274">
        <f>P104+C106</f>
        <v>0</v>
      </c>
      <c r="J106" s="275"/>
    </row>
    <row r="107" spans="1:17">
      <c r="A107" s="264" t="s">
        <v>51</v>
      </c>
      <c r="B107" s="265"/>
      <c r="C107" s="276"/>
      <c r="D107" s="277"/>
      <c r="G107" s="264" t="s">
        <v>52</v>
      </c>
      <c r="H107" s="265"/>
      <c r="I107" s="266">
        <f>SUM(C92:C103,E92:E103,H92:H103,J92:J103)</f>
        <v>0</v>
      </c>
      <c r="J107" s="267"/>
    </row>
    <row r="108" spans="1:17" ht="14" thickBot="1">
      <c r="A108" s="268" t="s">
        <v>53</v>
      </c>
      <c r="B108" s="269"/>
      <c r="C108" s="278"/>
      <c r="D108" s="279"/>
      <c r="G108" s="268" t="s">
        <v>53</v>
      </c>
      <c r="H108" s="269"/>
      <c r="I108" s="270" t="e">
        <f>I106/I107</f>
        <v>#DIV/0!</v>
      </c>
      <c r="J108" s="271"/>
    </row>
    <row r="109" spans="1:17" ht="14" thickTop="1"/>
  </sheetData>
  <mergeCells count="89">
    <mergeCell ref="A3:B3"/>
    <mergeCell ref="I3:J3"/>
    <mergeCell ref="A1:B1"/>
    <mergeCell ref="I1:J1"/>
    <mergeCell ref="A2:B2"/>
    <mergeCell ref="C2:D2"/>
    <mergeCell ref="I2:J2"/>
    <mergeCell ref="A6:J6"/>
    <mergeCell ref="A8:E8"/>
    <mergeCell ref="F8:H8"/>
    <mergeCell ref="I8:J8"/>
    <mergeCell ref="A9:E9"/>
    <mergeCell ref="F9:H9"/>
    <mergeCell ref="I9:J9"/>
    <mergeCell ref="A10:E10"/>
    <mergeCell ref="F10:H10"/>
    <mergeCell ref="I10:J10"/>
    <mergeCell ref="A11:E11"/>
    <mergeCell ref="F11:H11"/>
    <mergeCell ref="I11:J11"/>
    <mergeCell ref="A12:E12"/>
    <mergeCell ref="F12:H12"/>
    <mergeCell ref="I12:J12"/>
    <mergeCell ref="I13:J13"/>
    <mergeCell ref="B18:E18"/>
    <mergeCell ref="G18:J18"/>
    <mergeCell ref="P18:Q18"/>
    <mergeCell ref="X18:Y18"/>
    <mergeCell ref="A33:J33"/>
    <mergeCell ref="A34:B34"/>
    <mergeCell ref="C34:D34"/>
    <mergeCell ref="G34:H34"/>
    <mergeCell ref="I34:J34"/>
    <mergeCell ref="A35:B35"/>
    <mergeCell ref="C35:D35"/>
    <mergeCell ref="G35:H35"/>
    <mergeCell ref="I35:J35"/>
    <mergeCell ref="A36:B36"/>
    <mergeCell ref="C36:D36"/>
    <mergeCell ref="G36:H36"/>
    <mergeCell ref="I36:J36"/>
    <mergeCell ref="B42:E42"/>
    <mergeCell ref="G42:J42"/>
    <mergeCell ref="P42:Q42"/>
    <mergeCell ref="A57:J57"/>
    <mergeCell ref="A58:B58"/>
    <mergeCell ref="C58:D58"/>
    <mergeCell ref="G58:H58"/>
    <mergeCell ref="I58:J58"/>
    <mergeCell ref="A59:B59"/>
    <mergeCell ref="C59:D59"/>
    <mergeCell ref="G59:H59"/>
    <mergeCell ref="I59:J59"/>
    <mergeCell ref="A60:B60"/>
    <mergeCell ref="C60:D60"/>
    <mergeCell ref="G60:H60"/>
    <mergeCell ref="I60:J60"/>
    <mergeCell ref="B66:E66"/>
    <mergeCell ref="G66:J66"/>
    <mergeCell ref="P66:Q66"/>
    <mergeCell ref="A81:J81"/>
    <mergeCell ref="A82:B82"/>
    <mergeCell ref="C82:D82"/>
    <mergeCell ref="G82:H82"/>
    <mergeCell ref="I82:J82"/>
    <mergeCell ref="A83:B83"/>
    <mergeCell ref="C83:D83"/>
    <mergeCell ref="G83:H83"/>
    <mergeCell ref="I83:J83"/>
    <mergeCell ref="A84:B84"/>
    <mergeCell ref="C84:D84"/>
    <mergeCell ref="G84:H84"/>
    <mergeCell ref="I84:J84"/>
    <mergeCell ref="B90:E90"/>
    <mergeCell ref="G90:J90"/>
    <mergeCell ref="P90:Q90"/>
    <mergeCell ref="A105:J105"/>
    <mergeCell ref="G106:H106"/>
    <mergeCell ref="I106:J106"/>
    <mergeCell ref="G107:H107"/>
    <mergeCell ref="I107:J107"/>
    <mergeCell ref="G108:H108"/>
    <mergeCell ref="I108:J108"/>
    <mergeCell ref="A106:B106"/>
    <mergeCell ref="C106:D106"/>
    <mergeCell ref="A107:B107"/>
    <mergeCell ref="C107:D107"/>
    <mergeCell ref="A108:B108"/>
    <mergeCell ref="C108:D108"/>
  </mergeCells>
  <dataValidations count="1">
    <dataValidation type="list" allowBlank="1" showInputMessage="1" showErrorMessage="1" sqref="A34:B34 A58:B58 A82:B82 A106:B106" xr:uid="{732474E3-EBAE-C54E-8BE3-FAD58D1E12DC}">
      <formula1>"Maternity Premium (18-45),Maternity Premium (18-50)"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44E0C-0424-1446-B6CB-07114D4470C5}">
  <dimension ref="A1:I68"/>
  <sheetViews>
    <sheetView zoomScaleNormal="140" workbookViewId="0">
      <selection activeCell="C62" sqref="C62"/>
    </sheetView>
  </sheetViews>
  <sheetFormatPr baseColWidth="10" defaultColWidth="16.6640625" defaultRowHeight="37" customHeight="1"/>
  <cols>
    <col min="1" max="1" width="29.33203125" style="3" customWidth="1"/>
    <col min="2" max="2" width="66.6640625" style="3" bestFit="1" customWidth="1"/>
    <col min="3" max="3" width="18.83203125" style="3" customWidth="1"/>
    <col min="4" max="4" width="16.6640625" style="3"/>
    <col min="5" max="5" width="32" style="3" bestFit="1" customWidth="1"/>
    <col min="6" max="6" width="26.6640625" style="3" customWidth="1"/>
    <col min="7" max="16384" width="16.6640625" style="3"/>
  </cols>
  <sheetData>
    <row r="1" spans="1:9" ht="37" customHeight="1">
      <c r="A1" s="1" t="s">
        <v>60</v>
      </c>
      <c r="B1" s="204" t="str">
        <f>'Approved Quote'!C1</f>
        <v>MGH LOGISTICS L.L.C</v>
      </c>
      <c r="C1" s="2"/>
      <c r="E1" s="4" t="s">
        <v>61</v>
      </c>
      <c r="F1" s="217">
        <v>1</v>
      </c>
      <c r="G1" s="4" t="s">
        <v>62</v>
      </c>
      <c r="H1" s="217">
        <v>1</v>
      </c>
    </row>
    <row r="2" spans="1:9" ht="37" customHeight="1">
      <c r="A2" s="4" t="s">
        <v>63</v>
      </c>
      <c r="B2" s="6" cm="1">
        <f t="array" ref="B2:C2">'Approved Quote'!C2:D2</f>
        <v>46105</v>
      </c>
      <c r="C2" s="3">
        <v>0</v>
      </c>
      <c r="E2" s="4" t="s">
        <v>64</v>
      </c>
      <c r="F2" s="53">
        <f>'Approved Quote'!I8</f>
        <v>165194</v>
      </c>
      <c r="G2" s="4" t="s">
        <v>65</v>
      </c>
      <c r="H2" s="75">
        <f>'Approved Quote'!I35+'Approved Quote'!I59+'Approved Quote'!I83+'Approved Quote'!I107</f>
        <v>17</v>
      </c>
    </row>
    <row r="3" spans="1:9" ht="37" customHeight="1">
      <c r="A3" s="4" t="s">
        <v>66</v>
      </c>
      <c r="B3" s="204" t="str">
        <f>'Approved Quote'!C3</f>
        <v>Savington International Insurance Brokers LLC</v>
      </c>
      <c r="C3" s="2"/>
      <c r="E3" s="4" t="s">
        <v>67</v>
      </c>
      <c r="F3" s="5"/>
    </row>
    <row r="4" spans="1:9" ht="37" customHeight="1">
      <c r="A4" s="4" t="s">
        <v>68</v>
      </c>
      <c r="B4" s="216">
        <v>0.1</v>
      </c>
      <c r="E4" s="1" t="s">
        <v>69</v>
      </c>
      <c r="F4" s="53" t="str">
        <f>'Premium Table'!U14</f>
        <v>Same as confirmed quote</v>
      </c>
      <c r="G4" s="4" t="s">
        <v>65</v>
      </c>
      <c r="H4" s="75" t="str">
        <f>'Premium Table'!U15</f>
        <v/>
      </c>
    </row>
    <row r="5" spans="1:9" ht="37" customHeight="1">
      <c r="A5" s="4" t="s">
        <v>70</v>
      </c>
      <c r="B5" s="2"/>
      <c r="E5" s="54" t="s">
        <v>71</v>
      </c>
      <c r="F5" s="218">
        <f>COUNTIF('Final premium per member'!L6:L506,"&gt;64")</f>
        <v>0</v>
      </c>
      <c r="G5" s="7" t="e">
        <f>F5/H4</f>
        <v>#VALUE!</v>
      </c>
    </row>
    <row r="6" spans="1:9" ht="37" customHeight="1">
      <c r="A6" s="4" t="s">
        <v>72</v>
      </c>
      <c r="B6" s="2" t="s">
        <v>73</v>
      </c>
      <c r="E6" s="54" t="s">
        <v>74</v>
      </c>
      <c r="F6" s="218">
        <v>0</v>
      </c>
      <c r="G6" s="217" t="s">
        <v>75</v>
      </c>
    </row>
    <row r="7" spans="1:9" ht="37" customHeight="1">
      <c r="A7" s="4" t="s">
        <v>76</v>
      </c>
      <c r="B7" s="2" t="s">
        <v>77</v>
      </c>
      <c r="E7" s="54" t="s">
        <v>78</v>
      </c>
      <c r="F7" s="219">
        <v>14</v>
      </c>
    </row>
    <row r="8" spans="1:9" ht="37" customHeight="1">
      <c r="A8" s="4" t="s">
        <v>79</v>
      </c>
      <c r="B8" s="2" t="s">
        <v>80</v>
      </c>
      <c r="E8" s="54" t="s">
        <v>81</v>
      </c>
      <c r="F8" s="219">
        <v>0</v>
      </c>
    </row>
    <row r="9" spans="1:9" ht="37" customHeight="1">
      <c r="A9" s="4" t="s">
        <v>82</v>
      </c>
      <c r="B9" s="2" t="s">
        <v>83</v>
      </c>
      <c r="E9" s="54" t="s">
        <v>84</v>
      </c>
      <c r="F9" s="219">
        <v>0</v>
      </c>
    </row>
    <row r="10" spans="1:9" ht="37" customHeight="1">
      <c r="A10" s="4" t="s">
        <v>85</v>
      </c>
      <c r="B10" s="2" t="s">
        <v>86</v>
      </c>
      <c r="E10" s="54" t="s">
        <v>87</v>
      </c>
      <c r="F10" s="219">
        <v>0</v>
      </c>
      <c r="H10" s="121"/>
    </row>
    <row r="11" spans="1:9" ht="37" customHeight="1">
      <c r="E11" s="4"/>
      <c r="H11" s="121"/>
      <c r="I11" s="123"/>
    </row>
    <row r="12" spans="1:9" ht="37" customHeight="1">
      <c r="B12" s="8" t="s">
        <v>88</v>
      </c>
      <c r="C12" s="8" t="s">
        <v>89</v>
      </c>
      <c r="D12" s="8" t="s">
        <v>90</v>
      </c>
      <c r="E12" s="8" t="s">
        <v>91</v>
      </c>
      <c r="H12" s="121"/>
    </row>
    <row r="13" spans="1:9" s="13" customFormat="1" ht="23" customHeight="1">
      <c r="A13" s="9"/>
      <c r="B13" s="10" t="s">
        <v>92</v>
      </c>
      <c r="C13" s="10"/>
      <c r="D13" s="11"/>
      <c r="E13" s="55"/>
      <c r="H13" s="122"/>
    </row>
    <row r="14" spans="1:9" s="13" customFormat="1" ht="23" customHeight="1">
      <c r="A14" s="9"/>
      <c r="B14" s="10" t="s">
        <v>93</v>
      </c>
      <c r="C14" s="10"/>
      <c r="D14" s="11"/>
      <c r="E14" s="55"/>
    </row>
    <row r="15" spans="1:9" s="13" customFormat="1" ht="23" customHeight="1">
      <c r="A15" s="9"/>
      <c r="B15" s="10" t="s">
        <v>94</v>
      </c>
      <c r="C15" s="10"/>
      <c r="D15" s="11"/>
      <c r="E15" s="55" t="s">
        <v>95</v>
      </c>
    </row>
    <row r="16" spans="1:9" s="13" customFormat="1" ht="23" customHeight="1">
      <c r="A16" s="14"/>
      <c r="B16" s="10" t="s">
        <v>96</v>
      </c>
      <c r="C16" s="10"/>
      <c r="D16" s="12"/>
      <c r="E16" s="55"/>
    </row>
    <row r="17" spans="1:5" s="13" customFormat="1" ht="23" customHeight="1">
      <c r="A17" s="9"/>
      <c r="B17" s="10" t="s">
        <v>97</v>
      </c>
      <c r="C17" s="10"/>
      <c r="D17" s="12"/>
      <c r="E17" s="55"/>
    </row>
    <row r="18" spans="1:5" s="13" customFormat="1" ht="23" customHeight="1">
      <c r="A18" s="15"/>
      <c r="B18" s="10" t="s">
        <v>98</v>
      </c>
      <c r="C18" s="10"/>
      <c r="D18" s="11"/>
      <c r="E18" s="55"/>
    </row>
    <row r="19" spans="1:5" s="13" customFormat="1" ht="23" customHeight="1">
      <c r="A19" s="9"/>
      <c r="B19" s="10" t="s">
        <v>99</v>
      </c>
      <c r="C19" s="10"/>
      <c r="D19" s="11"/>
      <c r="E19" s="55"/>
    </row>
    <row r="20" spans="1:5" s="13" customFormat="1" ht="23" customHeight="1">
      <c r="A20" s="9"/>
      <c r="B20" s="10" t="s">
        <v>100</v>
      </c>
      <c r="C20" s="10"/>
      <c r="D20" s="11"/>
      <c r="E20" s="55"/>
    </row>
    <row r="21" spans="1:5" s="13" customFormat="1" ht="23" customHeight="1">
      <c r="A21" s="9"/>
      <c r="B21" s="10" t="s">
        <v>101</v>
      </c>
      <c r="C21" s="10"/>
      <c r="D21" s="11"/>
      <c r="E21" s="55"/>
    </row>
    <row r="22" spans="1:5" s="13" customFormat="1" ht="23" customHeight="1">
      <c r="A22" s="9"/>
      <c r="B22" s="10" t="s">
        <v>102</v>
      </c>
      <c r="C22" s="10"/>
      <c r="D22" s="11"/>
      <c r="E22" s="55"/>
    </row>
    <row r="23" spans="1:5" s="13" customFormat="1" ht="23" customHeight="1">
      <c r="A23" s="9"/>
      <c r="B23" s="10" t="s">
        <v>103</v>
      </c>
      <c r="C23" s="10"/>
      <c r="D23" s="11"/>
      <c r="E23" s="55"/>
    </row>
    <row r="24" spans="1:5" s="13" customFormat="1" ht="23" customHeight="1">
      <c r="A24" s="9"/>
      <c r="B24" s="10" t="s">
        <v>104</v>
      </c>
      <c r="C24" s="10"/>
      <c r="D24" s="11"/>
      <c r="E24" s="55"/>
    </row>
    <row r="25" spans="1:5" s="13" customFormat="1" ht="23" customHeight="1">
      <c r="A25" s="9"/>
      <c r="B25" s="10" t="s">
        <v>105</v>
      </c>
      <c r="C25" s="10"/>
      <c r="D25" s="11"/>
      <c r="E25" s="55"/>
    </row>
    <row r="26" spans="1:5" s="13" customFormat="1" ht="23" customHeight="1">
      <c r="A26" s="9"/>
      <c r="B26" s="10" t="s">
        <v>106</v>
      </c>
      <c r="C26" s="10"/>
      <c r="D26" s="11"/>
      <c r="E26" s="55"/>
    </row>
    <row r="27" spans="1:5" s="13" customFormat="1" ht="23" customHeight="1">
      <c r="A27" s="9"/>
      <c r="B27" s="10" t="s">
        <v>107</v>
      </c>
      <c r="C27" s="10"/>
      <c r="D27" s="11"/>
      <c r="E27" s="55"/>
    </row>
    <row r="28" spans="1:5" s="13" customFormat="1" ht="23" customHeight="1">
      <c r="A28" s="9"/>
      <c r="B28" s="10"/>
      <c r="C28" s="10"/>
      <c r="D28" s="12"/>
      <c r="E28" s="55"/>
    </row>
    <row r="29" spans="1:5" s="13" customFormat="1" ht="37" customHeight="1">
      <c r="A29" s="9"/>
      <c r="B29" s="15"/>
      <c r="C29" s="16"/>
    </row>
    <row r="30" spans="1:5" s="13" customFormat="1" ht="37" customHeight="1">
      <c r="A30" s="9"/>
      <c r="B30" s="8" t="s">
        <v>108</v>
      </c>
      <c r="C30" s="8" t="s">
        <v>89</v>
      </c>
      <c r="D30" s="8" t="s">
        <v>90</v>
      </c>
      <c r="E30" s="8" t="s">
        <v>91</v>
      </c>
    </row>
    <row r="31" spans="1:5" s="13" customFormat="1" ht="37" customHeight="1">
      <c r="A31" s="15"/>
      <c r="B31" s="10" t="s">
        <v>109</v>
      </c>
      <c r="C31" s="10"/>
      <c r="D31" s="11"/>
      <c r="E31" s="100" t="s">
        <v>110</v>
      </c>
    </row>
    <row r="32" spans="1:5" ht="37" customHeight="1">
      <c r="B32" s="10" t="s">
        <v>111</v>
      </c>
      <c r="C32" s="10"/>
      <c r="D32" s="12"/>
      <c r="E32" s="100"/>
    </row>
    <row r="33" spans="1:6" ht="37" customHeight="1">
      <c r="B33" s="10" t="s">
        <v>112</v>
      </c>
      <c r="C33" s="10" t="s">
        <v>113</v>
      </c>
      <c r="D33" s="12"/>
      <c r="E33" s="100"/>
    </row>
    <row r="34" spans="1:6" ht="37" customHeight="1">
      <c r="B34" s="10"/>
      <c r="C34" s="10"/>
      <c r="D34" s="12"/>
      <c r="E34" s="100"/>
    </row>
    <row r="36" spans="1:6" ht="37" customHeight="1">
      <c r="B36" s="8" t="s">
        <v>114</v>
      </c>
      <c r="C36" s="8" t="s">
        <v>89</v>
      </c>
      <c r="D36" s="8" t="s">
        <v>115</v>
      </c>
      <c r="E36" s="8" t="s">
        <v>116</v>
      </c>
      <c r="F36" s="8" t="s">
        <v>91</v>
      </c>
    </row>
    <row r="37" spans="1:6" ht="37" customHeight="1">
      <c r="B37" s="10" t="s">
        <v>117</v>
      </c>
      <c r="C37" s="10"/>
      <c r="D37" s="11"/>
      <c r="E37" s="95" t="s">
        <v>118</v>
      </c>
      <c r="F37" s="55"/>
    </row>
    <row r="38" spans="1:6" ht="37" customHeight="1">
      <c r="B38" s="10" t="s">
        <v>119</v>
      </c>
      <c r="C38" s="10"/>
      <c r="D38" s="11"/>
      <c r="E38" s="55"/>
      <c r="F38" s="55"/>
    </row>
    <row r="39" spans="1:6" ht="37" customHeight="1">
      <c r="B39" s="10" t="s">
        <v>120</v>
      </c>
      <c r="C39" s="10"/>
      <c r="D39" s="11"/>
      <c r="E39" s="55" t="s">
        <v>121</v>
      </c>
      <c r="F39" s="55" t="s">
        <v>121</v>
      </c>
    </row>
    <row r="40" spans="1:6" ht="37" customHeight="1">
      <c r="B40" s="10" t="s">
        <v>122</v>
      </c>
      <c r="C40" s="10"/>
      <c r="D40" s="12"/>
      <c r="E40" s="55"/>
      <c r="F40" s="55"/>
    </row>
    <row r="41" spans="1:6" ht="37" customHeight="1">
      <c r="B41" s="10" t="s">
        <v>123</v>
      </c>
      <c r="C41" s="10"/>
      <c r="D41" s="12"/>
      <c r="E41" s="55"/>
      <c r="F41" s="55"/>
    </row>
    <row r="42" spans="1:6" ht="37" customHeight="1">
      <c r="B42" s="10" t="s">
        <v>124</v>
      </c>
      <c r="C42" s="10"/>
      <c r="D42" s="12"/>
      <c r="E42" s="55"/>
      <c r="F42" s="55"/>
    </row>
    <row r="44" spans="1:6" ht="37" customHeight="1">
      <c r="A44" s="114" t="s">
        <v>125</v>
      </c>
      <c r="B44" s="3" t="str">
        <f>"QIC-HEALTHX- UAE - QS - SME  - "&amp;B1&amp;" - UW Review"</f>
        <v>QIC-HEALTHX- UAE - QS - SME  - MGH LOGISTICS L.L.C - UW Review</v>
      </c>
    </row>
    <row r="45" spans="1:6" s="98" customFormat="1" ht="15">
      <c r="A45" s="96" t="s">
        <v>126</v>
      </c>
    </row>
    <row r="46" spans="1:6" s="98" customFormat="1" ht="15">
      <c r="A46" s="96"/>
    </row>
    <row r="47" spans="1:6" s="98" customFormat="1" ht="15">
      <c r="A47" s="96" t="s">
        <v>127</v>
      </c>
    </row>
    <row r="48" spans="1:6" s="98" customFormat="1" ht="15">
      <c r="A48" s="96"/>
    </row>
    <row r="49" spans="1:2" s="98" customFormat="1" ht="15">
      <c r="A49" s="97" t="s">
        <v>128</v>
      </c>
      <c r="B49" s="98" t="str">
        <f>B1</f>
        <v>MGH LOGISTICS L.L.C</v>
      </c>
    </row>
    <row r="50" spans="1:2" s="98" customFormat="1" ht="15">
      <c r="A50" s="97" t="s">
        <v>129</v>
      </c>
      <c r="B50" s="99">
        <f>B2</f>
        <v>46105</v>
      </c>
    </row>
    <row r="51" spans="1:2" s="98" customFormat="1" ht="15">
      <c r="A51" s="97" t="s">
        <v>3</v>
      </c>
      <c r="B51" s="98" t="str">
        <f>B3</f>
        <v>Savington International Insurance Brokers LLC</v>
      </c>
    </row>
    <row r="52" spans="1:2" s="98" customFormat="1" ht="15">
      <c r="A52" s="97" t="s">
        <v>130</v>
      </c>
      <c r="B52" s="98" t="str">
        <f>'Premium Table'!B10</f>
        <v>Annual</v>
      </c>
    </row>
    <row r="53" spans="1:2" s="98" customFormat="1" ht="15">
      <c r="A53" s="97"/>
    </row>
    <row r="54" spans="1:2" s="98" customFormat="1" ht="15">
      <c r="A54" s="97" t="s">
        <v>131</v>
      </c>
      <c r="B54" s="101">
        <f>F2</f>
        <v>165194</v>
      </c>
    </row>
    <row r="55" spans="1:2" s="98" customFormat="1" ht="15">
      <c r="A55" s="97" t="s">
        <v>132</v>
      </c>
      <c r="B55" s="115">
        <f>H2</f>
        <v>17</v>
      </c>
    </row>
    <row r="56" spans="1:2" s="98" customFormat="1" ht="15">
      <c r="A56" s="97" t="s">
        <v>133</v>
      </c>
      <c r="B56" s="101">
        <f>'Final premium per member'!R2</f>
        <v>165194</v>
      </c>
    </row>
    <row r="57" spans="1:2" s="98" customFormat="1" ht="15">
      <c r="A57" s="97" t="s">
        <v>134</v>
      </c>
      <c r="B57" s="115">
        <f>'Final premium per member'!R3</f>
        <v>17</v>
      </c>
    </row>
    <row r="58" spans="1:2" s="98" customFormat="1" ht="15">
      <c r="A58" s="97"/>
      <c r="B58" s="101"/>
    </row>
    <row r="59" spans="1:2" s="98" customFormat="1" ht="15">
      <c r="A59" s="97" t="s">
        <v>135</v>
      </c>
      <c r="B59" s="119">
        <f>'Premium Table'!O11</f>
        <v>0.1</v>
      </c>
    </row>
    <row r="60" spans="1:2" s="98" customFormat="1" ht="15">
      <c r="A60" s="97" t="s">
        <v>136</v>
      </c>
      <c r="B60" s="119">
        <f>'Premium Table'!O14</f>
        <v>0.05</v>
      </c>
    </row>
    <row r="61" spans="1:2" s="98" customFormat="1" ht="15">
      <c r="A61" s="97" t="s">
        <v>137</v>
      </c>
      <c r="B61" s="119">
        <f>'Premium Table'!O12</f>
        <v>0.05</v>
      </c>
    </row>
    <row r="62" spans="1:2" s="98" customFormat="1" ht="15">
      <c r="A62" s="97" t="s">
        <v>138</v>
      </c>
      <c r="B62" s="119">
        <f>'Premium Table'!O13+'Premium Table'!O15</f>
        <v>5.0000000000000001E-3</v>
      </c>
    </row>
    <row r="63" spans="1:2" s="98" customFormat="1" ht="15">
      <c r="A63" s="97" t="s">
        <v>139</v>
      </c>
      <c r="B63" s="119">
        <f>SUM(B59:B62)</f>
        <v>0.20500000000000002</v>
      </c>
    </row>
    <row r="64" spans="1:2" s="98" customFormat="1" ht="16">
      <c r="A64" s="118" t="s">
        <v>140</v>
      </c>
      <c r="B64" s="120" t="s">
        <v>141</v>
      </c>
    </row>
    <row r="65" spans="1:1" s="98" customFormat="1" ht="15">
      <c r="A65" s="97"/>
    </row>
    <row r="66" spans="1:1" s="98" customFormat="1" ht="15">
      <c r="A66" s="96" t="s">
        <v>142</v>
      </c>
    </row>
    <row r="67" spans="1:1" ht="37" customHeight="1">
      <c r="A67" s="94"/>
    </row>
    <row r="68" spans="1:1" ht="37" customHeight="1">
      <c r="A68" s="94"/>
    </row>
  </sheetData>
  <conditionalFormatting sqref="C12:C27">
    <cfRule type="containsText" dxfId="9" priority="6" operator="containsText" text="Completed">
      <formula>NOT(ISERROR(SEARCH("Completed",C12)))</formula>
    </cfRule>
  </conditionalFormatting>
  <conditionalFormatting sqref="C13:C27">
    <cfRule type="containsText" dxfId="8" priority="5" operator="containsText" text="Pending">
      <formula>NOT(ISERROR(SEARCH("Pending",C13)))</formula>
    </cfRule>
  </conditionalFormatting>
  <conditionalFormatting sqref="C31:C34">
    <cfRule type="containsText" dxfId="7" priority="3" operator="containsText" text="Pending">
      <formula>NOT(ISERROR(SEARCH("Pending",C31)))</formula>
    </cfRule>
    <cfRule type="containsText" dxfId="6" priority="4" operator="containsText" text="Completed">
      <formula>NOT(ISERROR(SEARCH("Completed",C31)))</formula>
    </cfRule>
  </conditionalFormatting>
  <conditionalFormatting sqref="C37:C42">
    <cfRule type="containsText" dxfId="5" priority="1" operator="containsText" text="Pending">
      <formula>NOT(ISERROR(SEARCH("Pending",C37)))</formula>
    </cfRule>
    <cfRule type="containsText" dxfId="4" priority="2" operator="containsText" text="Completed">
      <formula>NOT(ISERROR(SEARCH("Completed",C37)))</formula>
    </cfRule>
  </conditionalFormatting>
  <dataValidations count="5">
    <dataValidation type="list" allowBlank="1" showInputMessage="1" showErrorMessage="1" sqref="G6" xr:uid="{A6668C59-0745-6F40-B265-24DD021895B8}">
      <formula1>"Yes,No,NA,No info"</formula1>
    </dataValidation>
    <dataValidation type="list" allowBlank="1" showInputMessage="1" showErrorMessage="1" sqref="B8" xr:uid="{6406153D-F5C9-9548-B560-F6C49200DAE8}">
      <formula1>"New Business, Renewal"</formula1>
    </dataValidation>
    <dataValidation type="list" allowBlank="1" showInputMessage="1" showErrorMessage="1" sqref="C37:C42 C31:C34 C13:C28" xr:uid="{A2BDEB44-2950-9D4B-991C-C1829D924ADD}">
      <formula1>"Pending, Missing details, Completed,N/A"</formula1>
    </dataValidation>
    <dataValidation type="list" allowBlank="1" showInputMessage="1" showErrorMessage="1" sqref="B9" xr:uid="{250A6ECD-B0EE-3047-9429-F6DFEA7D4BEF}">
      <formula1>"Annual, Semi-Annual, Quarterly, Custom"</formula1>
    </dataValidation>
    <dataValidation type="list" allowBlank="1" showInputMessage="1" showErrorMessage="1" sqref="B10" xr:uid="{C01B9449-3208-944B-92EB-59FD93663D4A}">
      <formula1>"Monthly, Quarterly, Custom"</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09127-2A8C-A345-AECF-86ADC20EEF21}">
  <dimension ref="A2:B68"/>
  <sheetViews>
    <sheetView topLeftCell="A46" zoomScale="140" zoomScaleNormal="140" workbookViewId="0">
      <selection activeCell="A54" sqref="A54:B67"/>
    </sheetView>
  </sheetViews>
  <sheetFormatPr baseColWidth="10" defaultColWidth="11.5" defaultRowHeight="15"/>
  <cols>
    <col min="1" max="1" width="21.83203125" customWidth="1"/>
    <col min="2" max="2" width="25.5" customWidth="1"/>
  </cols>
  <sheetData>
    <row r="2" spans="1:2">
      <c r="A2" s="80" t="s">
        <v>143</v>
      </c>
    </row>
    <row r="4" spans="1:2">
      <c r="A4" s="76" t="s">
        <v>144</v>
      </c>
      <c r="B4" t="str">
        <f>"Confirmation - "&amp;'Confirmation Info Sheet'!B1&amp;" effective on "&amp;TEXT('Confirmation Info Sheet'!B2,"dd mmm yyy")</f>
        <v>Confirmation - MGH LOGISTICS L.L.C effective on 24 Mar 2026</v>
      </c>
    </row>
    <row r="5" spans="1:2">
      <c r="A5" s="76"/>
    </row>
    <row r="6" spans="1:2">
      <c r="A6" s="76"/>
    </row>
    <row r="7" spans="1:2">
      <c r="A7" s="76" t="s">
        <v>145</v>
      </c>
    </row>
    <row r="8" spans="1:2">
      <c r="A8" s="76"/>
    </row>
    <row r="9" spans="1:2">
      <c r="A9" s="76" t="str">
        <f>"Healthx is pleased to share the below onboarding documents for  "&amp;'Confirmation Info Sheet'!B1&amp;":"</f>
        <v>Healthx is pleased to share the below onboarding documents for  MGH LOGISTICS L.L.C:</v>
      </c>
    </row>
    <row r="10" spans="1:2">
      <c r="A10" s="76"/>
    </row>
    <row r="11" spans="1:2">
      <c r="A11" s="76" t="str">
        <f>IF('Confirmation Info Sheet'!C13="Completed","- "&amp;'Confirmation Info Sheet'!B13,"")</f>
        <v/>
      </c>
    </row>
    <row r="12" spans="1:2">
      <c r="A12" s="76" t="str">
        <f>IF('Confirmation Info Sheet'!C14="Completed","- "&amp;'Confirmation Info Sheet'!B14,"")</f>
        <v/>
      </c>
    </row>
    <row r="13" spans="1:2">
      <c r="A13" s="76" t="str">
        <f>IF('Confirmation Info Sheet'!C15="Completed","- "&amp;'Confirmation Info Sheet'!B15&amp;" ("&amp;'Confirmation Info Sheet'!E15&amp;")","")</f>
        <v/>
      </c>
    </row>
    <row r="14" spans="1:2">
      <c r="A14" s="76" t="str">
        <f>IF('Confirmation Info Sheet'!C16="Completed","- "&amp;'Confirmation Info Sheet'!B16,"")</f>
        <v/>
      </c>
    </row>
    <row r="15" spans="1:2">
      <c r="A15" s="76" t="str">
        <f>IF('Confirmation Info Sheet'!C17="Completed","- "&amp;'Confirmation Info Sheet'!B17,"")</f>
        <v/>
      </c>
    </row>
    <row r="16" spans="1:2">
      <c r="A16" s="79" t="s">
        <v>146</v>
      </c>
    </row>
    <row r="17" spans="1:2">
      <c r="A17" s="76" t="str">
        <f>IF('Confirmation Info Sheet'!C19="Completed","- "&amp;'Confirmation Info Sheet'!B19,"")</f>
        <v/>
      </c>
    </row>
    <row r="18" spans="1:2">
      <c r="A18" s="76" t="str">
        <f>IF('Confirmation Info Sheet'!C20="Completed","- "&amp;'Confirmation Info Sheet'!B20,"")</f>
        <v/>
      </c>
    </row>
    <row r="19" spans="1:2">
      <c r="A19" s="76" t="str">
        <f>IF('Confirmation Info Sheet'!C21="Completed","- "&amp;'Confirmation Info Sheet'!B21,"")</f>
        <v/>
      </c>
    </row>
    <row r="20" spans="1:2">
      <c r="A20" s="76" t="str">
        <f>IF('Confirmation Info Sheet'!C22="Completed","- "&amp;'Confirmation Info Sheet'!B22,"")</f>
        <v/>
      </c>
    </row>
    <row r="21" spans="1:2">
      <c r="A21" s="76" t="str">
        <f>IF('Confirmation Info Sheet'!C23="Completed","- "&amp;'Confirmation Info Sheet'!B23,"")</f>
        <v/>
      </c>
    </row>
    <row r="22" spans="1:2">
      <c r="A22" s="76" t="str">
        <f>IF('Confirmation Info Sheet'!C24="Completed","- "&amp;'Confirmation Info Sheet'!B24,"")</f>
        <v/>
      </c>
    </row>
    <row r="23" spans="1:2">
      <c r="A23" s="76" t="str">
        <f>IF('Confirmation Info Sheet'!C25="Completed","- "&amp;'Confirmation Info Sheet'!B25,"")</f>
        <v/>
      </c>
    </row>
    <row r="24" spans="1:2">
      <c r="A24" s="76" t="str">
        <f>IF('Confirmation Info Sheet'!C26="Completed","- "&amp;'Confirmation Info Sheet'!B26,"")</f>
        <v/>
      </c>
    </row>
    <row r="25" spans="1:2">
      <c r="A25" s="76" t="str">
        <f>IF('Confirmation Info Sheet'!C27="Completed","- "&amp;'Confirmation Info Sheet'!E27,"")</f>
        <v/>
      </c>
    </row>
    <row r="26" spans="1:2">
      <c r="A26" s="79" t="s">
        <v>147</v>
      </c>
    </row>
    <row r="27" spans="1:2">
      <c r="A27" s="79" t="s">
        <v>148</v>
      </c>
    </row>
    <row r="28" spans="1:2">
      <c r="A28" s="76"/>
    </row>
    <row r="29" spans="1:2">
      <c r="A29" s="82" t="s">
        <v>149</v>
      </c>
      <c r="B29" s="83" t="str">
        <f>'Confirmation Info Sheet'!B1</f>
        <v>MGH LOGISTICS L.L.C</v>
      </c>
    </row>
    <row r="30" spans="1:2">
      <c r="A30" s="84" t="s">
        <v>150</v>
      </c>
      <c r="B30" s="85">
        <f>'Confirmation Info Sheet'!B2</f>
        <v>46105</v>
      </c>
    </row>
    <row r="31" spans="1:2">
      <c r="A31" s="84" t="s">
        <v>151</v>
      </c>
      <c r="B31" s="83" t="str">
        <f>'Confirmation Info Sheet'!B3</f>
        <v>Savington International Insurance Brokers LLC</v>
      </c>
    </row>
    <row r="32" spans="1:2">
      <c r="A32" s="84" t="s">
        <v>152</v>
      </c>
      <c r="B32" s="83" t="str">
        <f>'Confirmation Info Sheet'!B9</f>
        <v>Annual</v>
      </c>
    </row>
    <row r="33" spans="1:2">
      <c r="A33" s="84" t="s">
        <v>153</v>
      </c>
      <c r="B33" s="88">
        <f>'Premium Table'!U11</f>
        <v>165194</v>
      </c>
    </row>
    <row r="34" spans="1:2">
      <c r="A34" s="84" t="s">
        <v>154</v>
      </c>
      <c r="B34" s="89" t="str">
        <f>'Premium Table'!U14</f>
        <v>Same as confirmed quote</v>
      </c>
    </row>
    <row r="35" spans="1:2">
      <c r="A35" s="78"/>
    </row>
    <row r="36" spans="1:2">
      <c r="A36" s="86" t="str">
        <f>'Premium Table'!N11</f>
        <v>Broker</v>
      </c>
      <c r="B36" s="87">
        <f>'Premium Table'!O11</f>
        <v>0.1</v>
      </c>
    </row>
    <row r="37" spans="1:2">
      <c r="A37" s="86" t="str">
        <f>'Premium Table'!N12</f>
        <v>NAS (TPA)</v>
      </c>
      <c r="B37" s="87">
        <f>'Premium Table'!O12</f>
        <v>0.05</v>
      </c>
    </row>
    <row r="38" spans="1:2">
      <c r="A38" s="86" t="str">
        <f>'Premium Table'!N13</f>
        <v>QIC (Insurer)</v>
      </c>
      <c r="B38" s="87">
        <f>'Premium Table'!O13+'Premium Table'!O15</f>
        <v>5.0000000000000001E-3</v>
      </c>
    </row>
    <row r="39" spans="1:2">
      <c r="A39" s="86" t="str">
        <f>'Premium Table'!N14</f>
        <v>HealthX (Admin)</v>
      </c>
      <c r="B39" s="87">
        <f>'Premium Table'!O14</f>
        <v>0.05</v>
      </c>
    </row>
    <row r="40" spans="1:2">
      <c r="A40" s="81"/>
    </row>
    <row r="41" spans="1:2">
      <c r="A41" t="s">
        <v>155</v>
      </c>
    </row>
    <row r="43" spans="1:2">
      <c r="A43" s="80" t="s">
        <v>156</v>
      </c>
    </row>
    <row r="45" spans="1:2">
      <c r="A45" s="76" t="s">
        <v>157</v>
      </c>
    </row>
    <row r="46" spans="1:2">
      <c r="A46" s="90" t="s">
        <v>158</v>
      </c>
    </row>
    <row r="47" spans="1:2">
      <c r="A47" s="90" t="s">
        <v>159</v>
      </c>
    </row>
    <row r="48" spans="1:2">
      <c r="A48" s="91"/>
    </row>
    <row r="49" spans="1:2">
      <c r="A49" s="76" t="s">
        <v>160</v>
      </c>
    </row>
    <row r="50" spans="1:2">
      <c r="A50" s="76"/>
    </row>
    <row r="51" spans="1:2">
      <c r="A51" s="76" t="s">
        <v>125</v>
      </c>
      <c r="B51" t="str">
        <f>"Confirmation - "&amp;'Confirmation Info Sheet'!B1&amp;" effective on "&amp;TEXT('Confirmation Info Sheet'!B2,"dd mmm yyy")</f>
        <v>Confirmation - MGH LOGISTICS L.L.C effective on 24 Mar 2026</v>
      </c>
    </row>
    <row r="52" spans="1:2">
      <c r="A52" s="76"/>
    </row>
    <row r="53" spans="1:2">
      <c r="A53" s="76"/>
    </row>
    <row r="54" spans="1:2">
      <c r="A54" s="76" t="s">
        <v>161</v>
      </c>
    </row>
    <row r="55" spans="1:2">
      <c r="A55" s="76"/>
    </row>
    <row r="56" spans="1:2">
      <c r="A56" s="76" t="s">
        <v>162</v>
      </c>
    </row>
    <row r="57" spans="1:2">
      <c r="A57" s="76"/>
    </row>
    <row r="58" spans="1:2">
      <c r="A58" s="92" t="s">
        <v>163</v>
      </c>
    </row>
    <row r="59" spans="1:2">
      <c r="A59" s="92" t="s">
        <v>164</v>
      </c>
    </row>
    <row r="60" spans="1:2">
      <c r="A60" s="92" t="s">
        <v>165</v>
      </c>
    </row>
    <row r="61" spans="1:2">
      <c r="A61" s="92" t="s">
        <v>166</v>
      </c>
    </row>
    <row r="62" spans="1:2">
      <c r="A62" s="92"/>
    </row>
    <row r="63" spans="1:2">
      <c r="A63" s="84" t="s">
        <v>167</v>
      </c>
      <c r="B63" s="83" t="str">
        <f>'Confirmation Info Sheet'!B1</f>
        <v>MGH LOGISTICS L.L.C</v>
      </c>
    </row>
    <row r="64" spans="1:2">
      <c r="A64" s="84" t="s">
        <v>150</v>
      </c>
      <c r="B64" s="85">
        <f>'Confirmation Info Sheet'!B2</f>
        <v>46105</v>
      </c>
    </row>
    <row r="65" spans="1:2">
      <c r="A65" s="93" t="s">
        <v>151</v>
      </c>
      <c r="B65" s="83" t="str">
        <f>'Confirmation Info Sheet'!B3</f>
        <v>Savington International Insurance Brokers LLC</v>
      </c>
    </row>
    <row r="66" spans="1:2">
      <c r="A66" s="76" t="s">
        <v>168</v>
      </c>
    </row>
    <row r="67" spans="1:2">
      <c r="A67" s="76" t="s">
        <v>169</v>
      </c>
    </row>
    <row r="68" spans="1:2" ht="16">
      <c r="A68" s="77"/>
    </row>
  </sheetData>
  <hyperlinks>
    <hyperlink ref="A46" r:id="rId1" display="mailto:Healthxendorsments@nas.ae" xr:uid="{721460B6-ED21-A14F-A4B8-502FBE8B7227}"/>
    <hyperlink ref="A47" r:id="rId2" tooltip="mailto:Cheri.Jijo@nas.ae" display="mailto:Cheri.Jijo@nas.ae" xr:uid="{A0C3C527-EA39-3342-ACCB-58826F82854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E5012-69A0-1543-B0AC-F34F320F3F75}">
  <sheetPr>
    <pageSetUpPr fitToPage="1"/>
  </sheetPr>
  <dimension ref="A1:AE386"/>
  <sheetViews>
    <sheetView zoomScale="107" zoomScaleNormal="107" workbookViewId="0">
      <selection activeCell="G14" sqref="G14"/>
    </sheetView>
  </sheetViews>
  <sheetFormatPr baseColWidth="10" defaultColWidth="9.1640625" defaultRowHeight="20" customHeight="1"/>
  <cols>
    <col min="1" max="1" width="29.5" style="28" bestFit="1" customWidth="1"/>
    <col min="2" max="2" width="35.1640625" style="39" customWidth="1"/>
    <col min="3" max="3" width="21" style="27" hidden="1" customWidth="1"/>
    <col min="4" max="6" width="17.83203125" style="27" hidden="1" customWidth="1"/>
    <col min="7" max="8" width="19.83203125" style="28" customWidth="1"/>
    <col min="9" max="9" width="14" style="28" hidden="1" customWidth="1"/>
    <col min="10" max="10" width="14" style="29" hidden="1" customWidth="1"/>
    <col min="11" max="13" width="14" style="28" hidden="1" customWidth="1"/>
    <col min="14" max="15" width="17.83203125" style="28" customWidth="1"/>
    <col min="16" max="16" width="14.83203125" style="28" customWidth="1"/>
    <col min="17" max="17" width="12.6640625" style="28" hidden="1" customWidth="1"/>
    <col min="18" max="18" width="12" style="28" hidden="1" customWidth="1"/>
    <col min="19" max="19" width="9.1640625" style="28"/>
    <col min="20" max="20" width="26" style="28" customWidth="1"/>
    <col min="21" max="21" width="15.33203125" style="28" bestFit="1" customWidth="1"/>
    <col min="22" max="22" width="13.83203125" style="28" customWidth="1"/>
    <col min="23" max="23" width="25.6640625" style="28" bestFit="1" customWidth="1"/>
    <col min="24" max="24" width="17.1640625" style="28" bestFit="1" customWidth="1"/>
    <col min="25" max="26" width="22.1640625" style="28" customWidth="1"/>
    <col min="27" max="27" width="42.5" style="28" customWidth="1"/>
    <col min="28" max="28" width="19.1640625" style="28" customWidth="1"/>
    <col min="29" max="16384" width="9.1640625" style="28"/>
  </cols>
  <sheetData>
    <row r="1" spans="1:24" ht="54" customHeight="1"/>
    <row r="2" spans="1:24" ht="16" customHeight="1"/>
    <row r="3" spans="1:24" s="20" customFormat="1" ht="36" customHeight="1">
      <c r="A3" s="111" t="s">
        <v>170</v>
      </c>
      <c r="B3" s="17" t="s">
        <v>171</v>
      </c>
      <c r="C3" s="18"/>
      <c r="D3" s="19"/>
      <c r="E3" s="19"/>
      <c r="F3" s="19"/>
      <c r="K3" s="21"/>
      <c r="L3" s="21"/>
      <c r="N3" s="316" t="s">
        <v>172</v>
      </c>
      <c r="O3" s="317"/>
    </row>
    <row r="4" spans="1:24" s="20" customFormat="1" ht="76" customHeight="1">
      <c r="A4" s="112" t="s">
        <v>167</v>
      </c>
      <c r="B4" s="113" t="str">
        <f>'Confirmation Info Sheet'!B1</f>
        <v>MGH LOGISTICS L.L.C</v>
      </c>
      <c r="C4" s="18"/>
      <c r="D4" s="19"/>
      <c r="E4" s="19"/>
      <c r="F4" s="19"/>
      <c r="K4" s="21"/>
      <c r="L4" s="21"/>
      <c r="N4" s="22" t="s">
        <v>173</v>
      </c>
      <c r="O4" s="23">
        <v>19</v>
      </c>
      <c r="P4" s="24" t="s">
        <v>174</v>
      </c>
    </row>
    <row r="5" spans="1:24" s="20" customFormat="1" ht="36" customHeight="1">
      <c r="C5" s="18"/>
      <c r="D5" s="19"/>
      <c r="E5" s="19"/>
      <c r="F5" s="19"/>
      <c r="K5" s="21"/>
      <c r="L5" s="21"/>
      <c r="N5" s="25" t="s">
        <v>175</v>
      </c>
      <c r="O5" s="23">
        <v>18</v>
      </c>
      <c r="P5" s="24" t="s">
        <v>174</v>
      </c>
    </row>
    <row r="6" spans="1:24" s="20" customFormat="1" ht="36" customHeight="1">
      <c r="A6" s="111" t="s">
        <v>176</v>
      </c>
      <c r="B6" s="26">
        <f>'Confirmation Info Sheet'!B2</f>
        <v>46105</v>
      </c>
      <c r="C6" s="18"/>
      <c r="D6" s="19"/>
      <c r="E6" s="19"/>
      <c r="F6" s="19"/>
      <c r="K6" s="21"/>
      <c r="L6" s="21"/>
      <c r="N6" s="25" t="s">
        <v>177</v>
      </c>
      <c r="O6" s="23">
        <v>12</v>
      </c>
      <c r="P6" s="24" t="s">
        <v>178</v>
      </c>
    </row>
    <row r="7" spans="1:24" ht="36" customHeight="1">
      <c r="A7" s="111" t="s">
        <v>179</v>
      </c>
      <c r="B7" s="26">
        <f>DATE(YEAR(B6)+1,MONTH(B6),DAY(B6))-1</f>
        <v>46469</v>
      </c>
      <c r="K7" s="29"/>
      <c r="L7" s="29"/>
      <c r="N7" s="25" t="s">
        <v>180</v>
      </c>
      <c r="O7" s="23">
        <v>0</v>
      </c>
    </row>
    <row r="8" spans="1:24" ht="36" customHeight="1">
      <c r="A8" s="111" t="s">
        <v>181</v>
      </c>
      <c r="B8" s="30" t="str">
        <f>'Confirmation Info Sheet'!B8</f>
        <v>New Business</v>
      </c>
      <c r="K8" s="29"/>
      <c r="L8" s="29"/>
      <c r="N8" s="31"/>
      <c r="O8" s="32"/>
    </row>
    <row r="9" spans="1:24" ht="36" customHeight="1">
      <c r="A9" s="33"/>
      <c r="B9" s="33"/>
      <c r="K9" s="29"/>
      <c r="L9" s="29"/>
      <c r="O9" s="25" t="s">
        <v>182</v>
      </c>
      <c r="P9" s="34"/>
    </row>
    <row r="10" spans="1:24" ht="36" customHeight="1">
      <c r="A10" s="111" t="s">
        <v>82</v>
      </c>
      <c r="B10" s="25" t="str">
        <f>'Confirmation Info Sheet'!B9</f>
        <v>Annual</v>
      </c>
      <c r="K10" s="29"/>
      <c r="L10" s="29"/>
      <c r="O10" s="22" t="s">
        <v>183</v>
      </c>
      <c r="Q10" s="22" t="s">
        <v>184</v>
      </c>
    </row>
    <row r="11" spans="1:24" ht="36" customHeight="1">
      <c r="A11" s="111" t="s">
        <v>85</v>
      </c>
      <c r="B11" s="25" t="str">
        <f>'Confirmation Info Sheet'!B10</f>
        <v>Monthly</v>
      </c>
      <c r="K11" s="29"/>
      <c r="L11" s="29"/>
      <c r="N11" s="22" t="s">
        <v>185</v>
      </c>
      <c r="O11" s="35">
        <f>'Confirmation Info Sheet'!B4</f>
        <v>0.1</v>
      </c>
      <c r="Q11" s="35">
        <v>0.05</v>
      </c>
      <c r="T11" s="22" t="s">
        <v>186</v>
      </c>
      <c r="U11" s="36">
        <f>'Approved Quote'!I8</f>
        <v>165194</v>
      </c>
      <c r="W11" s="22" t="s">
        <v>187</v>
      </c>
      <c r="X11" s="36">
        <f>U11/U12</f>
        <v>9717.2941176470595</v>
      </c>
    </row>
    <row r="12" spans="1:24" ht="36" customHeight="1">
      <c r="A12" s="33"/>
      <c r="B12" s="33"/>
      <c r="K12" s="29"/>
      <c r="L12" s="29"/>
      <c r="N12" s="25" t="s">
        <v>188</v>
      </c>
      <c r="O12" s="35">
        <v>0.05</v>
      </c>
      <c r="Q12" s="35">
        <v>0.05</v>
      </c>
      <c r="T12" s="25" t="s">
        <v>65</v>
      </c>
      <c r="U12" s="37">
        <f>'Confirmation Info Sheet'!H2</f>
        <v>17</v>
      </c>
    </row>
    <row r="13" spans="1:24" ht="36" customHeight="1">
      <c r="A13" s="111" t="s">
        <v>76</v>
      </c>
      <c r="B13" s="17" t="s">
        <v>189</v>
      </c>
      <c r="G13" s="30">
        <v>46111</v>
      </c>
      <c r="K13" s="29"/>
      <c r="L13" s="29"/>
      <c r="N13" s="25" t="s">
        <v>190</v>
      </c>
      <c r="O13" s="35">
        <v>0</v>
      </c>
      <c r="Q13" s="35">
        <f>O13+((O11-Q11)/2)</f>
        <v>2.5000000000000001E-2</v>
      </c>
    </row>
    <row r="14" spans="1:24" ht="36" customHeight="1">
      <c r="A14" s="111" t="s">
        <v>191</v>
      </c>
      <c r="B14" s="17"/>
      <c r="G14" s="30"/>
      <c r="K14" s="29"/>
      <c r="L14" s="29"/>
      <c r="N14" s="25" t="s">
        <v>192</v>
      </c>
      <c r="O14" s="35">
        <v>0.05</v>
      </c>
      <c r="Q14" s="35">
        <f>O14+((O11-Q11)/2)</f>
        <v>7.5000000000000011E-2</v>
      </c>
      <c r="T14" s="22" t="s">
        <v>193</v>
      </c>
      <c r="U14" s="71" t="str">
        <f>IF(U11='Final premium per member'!R2,"Same as confirmed quote",'Final premium per member'!R2)</f>
        <v>Same as confirmed quote</v>
      </c>
      <c r="W14" s="22" t="s">
        <v>187</v>
      </c>
      <c r="X14" s="36" t="str">
        <f>IF(U11='Final premium per member'!R2,"",U14/U15)</f>
        <v/>
      </c>
    </row>
    <row r="15" spans="1:24" s="20" customFormat="1" ht="36" customHeight="1">
      <c r="C15" s="19"/>
      <c r="D15" s="19"/>
      <c r="E15" s="19"/>
      <c r="F15" s="19"/>
      <c r="J15" s="21"/>
      <c r="K15" s="21"/>
      <c r="L15" s="21"/>
      <c r="N15" s="25" t="s">
        <v>194</v>
      </c>
      <c r="O15" s="35">
        <v>5.0000000000000001E-3</v>
      </c>
      <c r="Q15" s="35">
        <v>5.0000000000000001E-3</v>
      </c>
      <c r="T15" s="25" t="s">
        <v>65</v>
      </c>
      <c r="U15" s="37" t="str">
        <f>IF(U11='Final premium per member'!R2,"",'Final premium per member'!R3)</f>
        <v/>
      </c>
    </row>
    <row r="16" spans="1:24" s="20" customFormat="1" ht="36" customHeight="1">
      <c r="C16" s="19"/>
      <c r="D16" s="19"/>
      <c r="E16" s="19"/>
      <c r="F16" s="19"/>
      <c r="J16" s="21"/>
      <c r="K16" s="21"/>
      <c r="L16" s="21"/>
      <c r="N16" s="25" t="s">
        <v>195</v>
      </c>
      <c r="O16" s="38">
        <f>SUM(O11:O15)</f>
        <v>0.20500000000000002</v>
      </c>
      <c r="Q16" s="38">
        <f>SUM(Q11:Q15)</f>
        <v>0.20500000000000002</v>
      </c>
    </row>
    <row r="17" spans="1:29" ht="42" customHeight="1">
      <c r="O17" s="40"/>
      <c r="T17" s="17" t="s">
        <v>196</v>
      </c>
      <c r="U17" s="73" t="str">
        <f>IF(ISERROR(U14/U11-1),"",U14/U11-1)</f>
        <v/>
      </c>
      <c r="Y17" s="72"/>
      <c r="Z17" s="72"/>
    </row>
    <row r="18" spans="1:29" ht="18.75" hidden="1" customHeight="1">
      <c r="A18" s="318"/>
      <c r="B18" s="318"/>
      <c r="C18" s="318"/>
      <c r="D18" s="318"/>
      <c r="E18" s="318"/>
      <c r="F18" s="318"/>
      <c r="G18" s="318"/>
      <c r="H18" s="318"/>
      <c r="I18" s="318"/>
      <c r="J18" s="318"/>
      <c r="K18" s="318"/>
      <c r="L18" s="318"/>
      <c r="M18" s="318"/>
      <c r="N18" s="318"/>
      <c r="O18" s="318"/>
      <c r="T18" s="17"/>
      <c r="U18" s="17"/>
    </row>
    <row r="19" spans="1:29" s="46" customFormat="1" ht="30">
      <c r="A19" s="41" t="s">
        <v>197</v>
      </c>
      <c r="B19" s="41" t="s">
        <v>198</v>
      </c>
      <c r="C19" s="42" t="str">
        <f>N4</f>
        <v>DHA Basmah Fee</v>
      </c>
      <c r="D19" s="42" t="str">
        <f>N5</f>
        <v>DHA HCV Fee</v>
      </c>
      <c r="E19" s="42" t="str">
        <f>N6</f>
        <v>TruDoc Fee</v>
      </c>
      <c r="F19" s="42" t="str">
        <f>N7</f>
        <v>Slash Data Fee</v>
      </c>
      <c r="G19" s="41" t="s">
        <v>199</v>
      </c>
      <c r="H19" s="41" t="s">
        <v>200</v>
      </c>
      <c r="I19" s="43" t="str">
        <f>N11</f>
        <v>Broker</v>
      </c>
      <c r="J19" s="44" t="str">
        <f>N12</f>
        <v>NAS (TPA)</v>
      </c>
      <c r="K19" s="44" t="str">
        <f>N13</f>
        <v>QIC (Insurer)</v>
      </c>
      <c r="L19" s="44" t="str">
        <f>N14</f>
        <v>HealthX (Admin)</v>
      </c>
      <c r="M19" s="45" t="str">
        <f>N15</f>
        <v>Insurance Levy</v>
      </c>
      <c r="N19" s="41" t="s">
        <v>201</v>
      </c>
      <c r="O19" s="41" t="s">
        <v>202</v>
      </c>
      <c r="T19" s="74" t="s">
        <v>203</v>
      </c>
      <c r="U19" s="73" t="str">
        <f>IF(ISERROR(U15/U12-1),"",U15/U12-1)</f>
        <v/>
      </c>
      <c r="V19" s="319" t="s">
        <v>204</v>
      </c>
      <c r="W19" s="319"/>
      <c r="AB19" s="56"/>
      <c r="AC19" s="56"/>
    </row>
    <row r="20" spans="1:29" ht="31" customHeight="1">
      <c r="A20" s="31" t="s">
        <v>13</v>
      </c>
      <c r="Q20" s="320" t="s">
        <v>205</v>
      </c>
      <c r="R20" s="320"/>
      <c r="T20" s="17" t="s">
        <v>206</v>
      </c>
      <c r="U20" s="73" t="str">
        <f>IF(ISERROR(X14/X11-1),"",X14/X11-1)</f>
        <v/>
      </c>
      <c r="V20" s="319"/>
      <c r="W20" s="319"/>
      <c r="AB20"/>
      <c r="AC20"/>
    </row>
    <row r="21" spans="1:29" ht="29" hidden="1" customHeight="1">
      <c r="A21" s="105" t="s">
        <v>207</v>
      </c>
      <c r="B21" s="105" t="str">
        <f>'Approved Quote'!A21</f>
        <v>11 - 17</v>
      </c>
      <c r="C21" s="106">
        <v>19</v>
      </c>
      <c r="D21" s="106">
        <v>18</v>
      </c>
      <c r="E21" s="106">
        <v>12</v>
      </c>
      <c r="F21" s="106"/>
      <c r="G21" s="107">
        <f>'Final premium per member'!W7</f>
        <v>3157</v>
      </c>
      <c r="H21" s="107">
        <f>'Final premium per member'!X7</f>
        <v>3217</v>
      </c>
      <c r="I21" s="108">
        <f>$O$11</f>
        <v>0.1</v>
      </c>
      <c r="J21" s="108">
        <f>$O$12</f>
        <v>0.05</v>
      </c>
      <c r="K21" s="108">
        <f>$O$13</f>
        <v>0</v>
      </c>
      <c r="L21" s="108">
        <f>$O$14</f>
        <v>0.05</v>
      </c>
      <c r="M21" s="108">
        <f>$O$15</f>
        <v>5.0000000000000001E-3</v>
      </c>
      <c r="N21" s="109">
        <f>IF(G21="","",G21*(1-$O$16))</f>
        <v>2509.8149999999996</v>
      </c>
      <c r="O21" s="109">
        <f t="shared" ref="O21:O44" si="0">IF(H21="","",H21*(1-$O$16))</f>
        <v>2557.5149999999999</v>
      </c>
      <c r="Q21" s="110" t="e">
        <f>N21-#REF!</f>
        <v>#REF!</v>
      </c>
      <c r="R21" s="110" t="e">
        <f>O21-#REF!</f>
        <v>#REF!</v>
      </c>
      <c r="T21" s="39"/>
      <c r="U21" s="124"/>
      <c r="V21" s="124"/>
      <c r="W21" s="124"/>
      <c r="AB21"/>
      <c r="AC21"/>
    </row>
    <row r="22" spans="1:29" ht="31" customHeight="1">
      <c r="A22" s="105" t="s">
        <v>207</v>
      </c>
      <c r="B22" s="105" t="str">
        <f>'Approved Quote'!A22</f>
        <v>18 - 25</v>
      </c>
      <c r="C22" s="106">
        <v>19</v>
      </c>
      <c r="D22" s="106">
        <v>18</v>
      </c>
      <c r="E22" s="106">
        <v>12</v>
      </c>
      <c r="F22" s="106"/>
      <c r="G22" s="107">
        <f>'Final premium per member'!W8</f>
        <v>5253</v>
      </c>
      <c r="H22" s="107">
        <f>'Final premium per member'!X8</f>
        <v>5997</v>
      </c>
      <c r="I22" s="108">
        <f>$O$11</f>
        <v>0.1</v>
      </c>
      <c r="J22" s="108">
        <f>$O$12</f>
        <v>0.05</v>
      </c>
      <c r="K22" s="108">
        <f>$O$13</f>
        <v>0</v>
      </c>
      <c r="L22" s="108">
        <f>$O$14</f>
        <v>0.05</v>
      </c>
      <c r="M22" s="108">
        <f>$O$15</f>
        <v>5.0000000000000001E-3</v>
      </c>
      <c r="N22" s="109">
        <f t="shared" ref="N22:N44" si="1">IF(G22="","",G22*(1-$O$16))</f>
        <v>4176.1349999999993</v>
      </c>
      <c r="O22" s="109">
        <f t="shared" si="0"/>
        <v>4767.6149999999998</v>
      </c>
      <c r="Q22" s="47" t="e">
        <f>N22-#REF!</f>
        <v>#REF!</v>
      </c>
      <c r="R22" s="47" t="e">
        <f>O22-#REF!</f>
        <v>#REF!</v>
      </c>
      <c r="T22" s="128" t="s">
        <v>208</v>
      </c>
      <c r="AB22"/>
      <c r="AC22"/>
    </row>
    <row r="23" spans="1:29" ht="20" customHeight="1">
      <c r="A23" s="105" t="s">
        <v>207</v>
      </c>
      <c r="B23" s="105" t="str">
        <f>'Approved Quote'!A23</f>
        <v>26 - 30</v>
      </c>
      <c r="C23" s="106">
        <v>19</v>
      </c>
      <c r="D23" s="106">
        <v>18</v>
      </c>
      <c r="E23" s="106">
        <v>12</v>
      </c>
      <c r="F23" s="106"/>
      <c r="G23" s="107">
        <f>'Final premium per member'!W9</f>
        <v>5833</v>
      </c>
      <c r="H23" s="107">
        <f>'Final premium per member'!X9</f>
        <v>7304</v>
      </c>
      <c r="I23" s="108">
        <f t="shared" ref="I23:I43" si="2">$O$11</f>
        <v>0.1</v>
      </c>
      <c r="J23" s="108">
        <f t="shared" ref="J23:J43" si="3">$O$12</f>
        <v>0.05</v>
      </c>
      <c r="K23" s="108">
        <f t="shared" ref="K23:K43" si="4">$O$13</f>
        <v>0</v>
      </c>
      <c r="L23" s="108">
        <f t="shared" ref="L23:L43" si="5">$O$14</f>
        <v>0.05</v>
      </c>
      <c r="M23" s="108">
        <f t="shared" ref="M23:M43" si="6">$O$15</f>
        <v>5.0000000000000001E-3</v>
      </c>
      <c r="N23" s="109">
        <f t="shared" si="1"/>
        <v>4637.2349999999997</v>
      </c>
      <c r="O23" s="109">
        <f t="shared" si="0"/>
        <v>5806.6799999999994</v>
      </c>
      <c r="Q23" s="47" t="e">
        <f>N23-#REF!</f>
        <v>#REF!</v>
      </c>
      <c r="R23" s="47" t="e">
        <f>O23-#REF!</f>
        <v>#REF!</v>
      </c>
      <c r="AB23"/>
      <c r="AC23"/>
    </row>
    <row r="24" spans="1:29" ht="20" customHeight="1">
      <c r="A24" s="105" t="s">
        <v>207</v>
      </c>
      <c r="B24" s="105" t="str">
        <f>'Approved Quote'!A24</f>
        <v>31 - 35</v>
      </c>
      <c r="C24" s="106">
        <v>19</v>
      </c>
      <c r="D24" s="106">
        <v>18</v>
      </c>
      <c r="E24" s="106">
        <v>12</v>
      </c>
      <c r="F24" s="106"/>
      <c r="G24" s="107">
        <f>'Final premium per member'!W10</f>
        <v>6915</v>
      </c>
      <c r="H24" s="107">
        <f>'Final premium per member'!X10</f>
        <v>8606</v>
      </c>
      <c r="I24" s="108">
        <f t="shared" si="2"/>
        <v>0.1</v>
      </c>
      <c r="J24" s="108">
        <f t="shared" si="3"/>
        <v>0.05</v>
      </c>
      <c r="K24" s="108">
        <f t="shared" si="4"/>
        <v>0</v>
      </c>
      <c r="L24" s="108">
        <f t="shared" si="5"/>
        <v>0.05</v>
      </c>
      <c r="M24" s="108">
        <f t="shared" si="6"/>
        <v>5.0000000000000001E-3</v>
      </c>
      <c r="N24" s="109">
        <f t="shared" si="1"/>
        <v>5497.4249999999993</v>
      </c>
      <c r="O24" s="109">
        <f t="shared" si="0"/>
        <v>6841.7699999999995</v>
      </c>
      <c r="Q24" s="47" t="e">
        <f>N24-#REF!</f>
        <v>#REF!</v>
      </c>
      <c r="R24" s="47" t="e">
        <f>O24-#REF!</f>
        <v>#REF!</v>
      </c>
      <c r="T24" s="22" t="s">
        <v>209</v>
      </c>
      <c r="U24" s="71">
        <f>U25*(1-O16)</f>
        <v>0</v>
      </c>
      <c r="V24" s="72"/>
      <c r="AB24"/>
      <c r="AC24"/>
    </row>
    <row r="25" spans="1:29" ht="20" customHeight="1">
      <c r="A25" s="105" t="s">
        <v>207</v>
      </c>
      <c r="B25" s="105" t="str">
        <f>'Approved Quote'!A25</f>
        <v>36 - 40</v>
      </c>
      <c r="C25" s="106">
        <v>19</v>
      </c>
      <c r="D25" s="106">
        <v>18</v>
      </c>
      <c r="E25" s="106">
        <v>12</v>
      </c>
      <c r="F25" s="106"/>
      <c r="G25" s="107">
        <f>'Final premium per member'!W11</f>
        <v>8397</v>
      </c>
      <c r="H25" s="107">
        <f>'Final premium per member'!X11</f>
        <v>10589</v>
      </c>
      <c r="I25" s="108">
        <f t="shared" si="2"/>
        <v>0.1</v>
      </c>
      <c r="J25" s="108">
        <f t="shared" si="3"/>
        <v>0.05</v>
      </c>
      <c r="K25" s="108">
        <f t="shared" si="4"/>
        <v>0</v>
      </c>
      <c r="L25" s="108">
        <f t="shared" si="5"/>
        <v>0.05</v>
      </c>
      <c r="M25" s="108">
        <f t="shared" si="6"/>
        <v>5.0000000000000001E-3</v>
      </c>
      <c r="N25" s="109">
        <f t="shared" si="1"/>
        <v>6675.6149999999998</v>
      </c>
      <c r="O25" s="109">
        <f t="shared" si="0"/>
        <v>8418.2549999999992</v>
      </c>
      <c r="Q25" s="47" t="e">
        <f>N25-#REF!</f>
        <v>#REF!</v>
      </c>
      <c r="R25" s="47" t="e">
        <f>O25-#REF!</f>
        <v>#REF!</v>
      </c>
      <c r="T25" s="22" t="s">
        <v>210</v>
      </c>
      <c r="U25" s="71">
        <f>'Approved Quote'!I11</f>
        <v>0</v>
      </c>
      <c r="V25" s="72"/>
      <c r="AB25"/>
      <c r="AC25"/>
    </row>
    <row r="26" spans="1:29" ht="20" customHeight="1">
      <c r="A26" s="105" t="s">
        <v>207</v>
      </c>
      <c r="B26" s="105" t="str">
        <f>'Approved Quote'!A26</f>
        <v>41 - 45</v>
      </c>
      <c r="C26" s="106">
        <v>19</v>
      </c>
      <c r="D26" s="106">
        <v>18</v>
      </c>
      <c r="E26" s="106">
        <v>12</v>
      </c>
      <c r="F26" s="106"/>
      <c r="G26" s="107">
        <f>'Final premium per member'!W12</f>
        <v>8785</v>
      </c>
      <c r="H26" s="107">
        <f>'Final premium per member'!X12</f>
        <v>12068</v>
      </c>
      <c r="I26" s="108">
        <f t="shared" si="2"/>
        <v>0.1</v>
      </c>
      <c r="J26" s="108">
        <f t="shared" si="3"/>
        <v>0.05</v>
      </c>
      <c r="K26" s="108">
        <f t="shared" si="4"/>
        <v>0</v>
      </c>
      <c r="L26" s="108">
        <f t="shared" si="5"/>
        <v>0.05</v>
      </c>
      <c r="M26" s="108">
        <f t="shared" si="6"/>
        <v>5.0000000000000001E-3</v>
      </c>
      <c r="N26" s="109">
        <f t="shared" si="1"/>
        <v>6984.0749999999998</v>
      </c>
      <c r="O26" s="109">
        <f t="shared" si="0"/>
        <v>9594.06</v>
      </c>
      <c r="Q26" s="47" t="e">
        <f>N26-#REF!</f>
        <v>#REF!</v>
      </c>
      <c r="R26" s="47" t="e">
        <f>O26-#REF!</f>
        <v>#REF!</v>
      </c>
      <c r="AB26"/>
      <c r="AC26"/>
    </row>
    <row r="27" spans="1:29" ht="20" customHeight="1">
      <c r="A27" s="105" t="s">
        <v>207</v>
      </c>
      <c r="B27" s="105" t="str">
        <f>'Approved Quote'!A27</f>
        <v>46 - 50</v>
      </c>
      <c r="C27" s="106">
        <v>19</v>
      </c>
      <c r="D27" s="106">
        <v>18</v>
      </c>
      <c r="E27" s="106">
        <v>12</v>
      </c>
      <c r="F27" s="106"/>
      <c r="G27" s="107">
        <f>'Final premium per member'!W13</f>
        <v>11304</v>
      </c>
      <c r="H27" s="107">
        <f>'Final premium per member'!X13</f>
        <v>14951</v>
      </c>
      <c r="I27" s="108">
        <f t="shared" si="2"/>
        <v>0.1</v>
      </c>
      <c r="J27" s="108">
        <f t="shared" si="3"/>
        <v>0.05</v>
      </c>
      <c r="K27" s="108">
        <f t="shared" si="4"/>
        <v>0</v>
      </c>
      <c r="L27" s="108">
        <f t="shared" si="5"/>
        <v>0.05</v>
      </c>
      <c r="M27" s="108">
        <f t="shared" si="6"/>
        <v>5.0000000000000001E-3</v>
      </c>
      <c r="N27" s="109">
        <f t="shared" si="1"/>
        <v>8986.6799999999985</v>
      </c>
      <c r="O27" s="109">
        <f t="shared" si="0"/>
        <v>11886.044999999998</v>
      </c>
      <c r="Q27" s="47" t="e">
        <f>N27-#REF!</f>
        <v>#REF!</v>
      </c>
      <c r="R27" s="47" t="e">
        <f>O27-#REF!</f>
        <v>#REF!</v>
      </c>
      <c r="AB27"/>
      <c r="AC27"/>
    </row>
    <row r="28" spans="1:29" ht="20" customHeight="1">
      <c r="A28" s="105" t="s">
        <v>207</v>
      </c>
      <c r="B28" s="105" t="str">
        <f>'Approved Quote'!A28</f>
        <v>51 - 55</v>
      </c>
      <c r="C28" s="106">
        <v>19</v>
      </c>
      <c r="D28" s="106">
        <v>18</v>
      </c>
      <c r="E28" s="106">
        <v>12</v>
      </c>
      <c r="F28" s="106"/>
      <c r="G28" s="107">
        <f>'Final premium per member'!W14</f>
        <v>14946</v>
      </c>
      <c r="H28" s="107">
        <f>'Final premium per member'!X14</f>
        <v>19507</v>
      </c>
      <c r="I28" s="108">
        <f t="shared" si="2"/>
        <v>0.1</v>
      </c>
      <c r="J28" s="108">
        <f t="shared" si="3"/>
        <v>0.05</v>
      </c>
      <c r="K28" s="108">
        <f t="shared" si="4"/>
        <v>0</v>
      </c>
      <c r="L28" s="108">
        <f t="shared" si="5"/>
        <v>0.05</v>
      </c>
      <c r="M28" s="108">
        <f t="shared" si="6"/>
        <v>5.0000000000000001E-3</v>
      </c>
      <c r="N28" s="109">
        <f t="shared" si="1"/>
        <v>11882.07</v>
      </c>
      <c r="O28" s="109">
        <f t="shared" si="0"/>
        <v>15508.064999999999</v>
      </c>
      <c r="Q28" s="47" t="e">
        <f>N28-#REF!</f>
        <v>#REF!</v>
      </c>
      <c r="R28" s="47" t="e">
        <f>O28-#REF!</f>
        <v>#REF!</v>
      </c>
      <c r="T28" s="22" t="s">
        <v>211</v>
      </c>
      <c r="U28" s="22" t="s">
        <v>212</v>
      </c>
      <c r="V28" s="22" t="s">
        <v>213</v>
      </c>
      <c r="W28" s="22" t="s">
        <v>197</v>
      </c>
      <c r="X28" s="22" t="s">
        <v>214</v>
      </c>
      <c r="Y28" s="22" t="s">
        <v>209</v>
      </c>
      <c r="Z28" s="22" t="s">
        <v>210</v>
      </c>
      <c r="AA28" s="22" t="s">
        <v>215</v>
      </c>
      <c r="AB28" s="22" t="s">
        <v>91</v>
      </c>
      <c r="AC28"/>
    </row>
    <row r="29" spans="1:29" ht="20" customHeight="1">
      <c r="A29" s="105" t="s">
        <v>207</v>
      </c>
      <c r="B29" s="105" t="str">
        <f>'Approved Quote'!A29</f>
        <v>56 - 59</v>
      </c>
      <c r="C29" s="106">
        <v>19</v>
      </c>
      <c r="D29" s="106">
        <v>18</v>
      </c>
      <c r="E29" s="106">
        <v>12</v>
      </c>
      <c r="F29" s="106"/>
      <c r="G29" s="107">
        <f>'Final premium per member'!W15</f>
        <v>20128</v>
      </c>
      <c r="H29" s="107">
        <f>'Final premium per member'!X15</f>
        <v>23729</v>
      </c>
      <c r="I29" s="108">
        <f t="shared" si="2"/>
        <v>0.1</v>
      </c>
      <c r="J29" s="108">
        <f t="shared" si="3"/>
        <v>0.05</v>
      </c>
      <c r="K29" s="108">
        <f t="shared" si="4"/>
        <v>0</v>
      </c>
      <c r="L29" s="108">
        <f t="shared" si="5"/>
        <v>0.05</v>
      </c>
      <c r="M29" s="108">
        <f t="shared" si="6"/>
        <v>5.0000000000000001E-3</v>
      </c>
      <c r="N29" s="109">
        <f t="shared" si="1"/>
        <v>16001.759999999998</v>
      </c>
      <c r="O29" s="109">
        <f t="shared" si="0"/>
        <v>18864.554999999997</v>
      </c>
      <c r="Q29" s="47" t="e">
        <f>N29-#REF!</f>
        <v>#REF!</v>
      </c>
      <c r="R29" s="47" t="e">
        <f>O29-#REF!</f>
        <v>#REF!</v>
      </c>
      <c r="T29" s="129"/>
      <c r="U29" s="130"/>
      <c r="V29" s="129"/>
      <c r="W29" s="74"/>
      <c r="X29" s="74"/>
      <c r="Y29" s="133"/>
      <c r="Z29" s="133"/>
      <c r="AA29" s="74"/>
      <c r="AB29" s="74"/>
      <c r="AC29"/>
    </row>
    <row r="30" spans="1:29" ht="20" customHeight="1">
      <c r="A30" s="105" t="s">
        <v>207</v>
      </c>
      <c r="B30" s="105" t="str">
        <f>'Approved Quote'!A30</f>
        <v>60 - 64</v>
      </c>
      <c r="C30" s="106">
        <v>19</v>
      </c>
      <c r="D30" s="106">
        <v>18</v>
      </c>
      <c r="E30" s="106">
        <v>12</v>
      </c>
      <c r="F30" s="106"/>
      <c r="G30" s="107">
        <f>'Final premium per member'!W16</f>
        <v>24628</v>
      </c>
      <c r="H30" s="107">
        <f>'Final premium per member'!X16</f>
        <v>28071</v>
      </c>
      <c r="I30" s="108">
        <f t="shared" si="2"/>
        <v>0.1</v>
      </c>
      <c r="J30" s="108">
        <f t="shared" si="3"/>
        <v>0.05</v>
      </c>
      <c r="K30" s="108">
        <f t="shared" si="4"/>
        <v>0</v>
      </c>
      <c r="L30" s="108">
        <f t="shared" si="5"/>
        <v>0.05</v>
      </c>
      <c r="M30" s="108">
        <f t="shared" si="6"/>
        <v>5.0000000000000001E-3</v>
      </c>
      <c r="N30" s="109">
        <f t="shared" si="1"/>
        <v>19579.259999999998</v>
      </c>
      <c r="O30" s="109">
        <f t="shared" si="0"/>
        <v>22316.445</v>
      </c>
      <c r="Q30" s="47" t="e">
        <f>N30-#REF!</f>
        <v>#REF!</v>
      </c>
      <c r="R30" s="47" t="e">
        <f>O30-#REF!</f>
        <v>#REF!</v>
      </c>
      <c r="T30" s="129"/>
      <c r="U30" s="130"/>
      <c r="V30" s="129"/>
      <c r="W30" s="74"/>
      <c r="X30" s="74"/>
      <c r="Y30" s="133"/>
      <c r="Z30" s="133"/>
      <c r="AA30" s="74"/>
      <c r="AB30" s="74"/>
      <c r="AC30"/>
    </row>
    <row r="31" spans="1:29" ht="15">
      <c r="A31" s="105" t="s">
        <v>207</v>
      </c>
      <c r="B31" s="105" t="str">
        <f>'Approved Quote'!A31</f>
        <v>65 - 99</v>
      </c>
      <c r="C31" s="106"/>
      <c r="D31" s="106"/>
      <c r="E31" s="106"/>
      <c r="F31" s="106"/>
      <c r="G31" s="107">
        <f>'Final premium per member'!W17</f>
        <v>43786</v>
      </c>
      <c r="H31" s="107">
        <f>'Final premium per member'!X17</f>
        <v>49985</v>
      </c>
      <c r="I31" s="108">
        <f t="shared" si="2"/>
        <v>0.1</v>
      </c>
      <c r="J31" s="108">
        <f t="shared" si="3"/>
        <v>0.05</v>
      </c>
      <c r="K31" s="108">
        <f t="shared" si="4"/>
        <v>0</v>
      </c>
      <c r="L31" s="108">
        <f t="shared" si="5"/>
        <v>0.05</v>
      </c>
      <c r="M31" s="108">
        <f t="shared" si="6"/>
        <v>5.0000000000000001E-3</v>
      </c>
      <c r="N31" s="109">
        <f t="shared" si="1"/>
        <v>34809.869999999995</v>
      </c>
      <c r="O31" s="109">
        <f t="shared" si="0"/>
        <v>39738.074999999997</v>
      </c>
      <c r="Q31" s="47" t="e">
        <f>N32-#REF!</f>
        <v>#REF!</v>
      </c>
      <c r="R31" s="47" t="e">
        <f>O32-#REF!</f>
        <v>#REF!</v>
      </c>
      <c r="T31" s="129"/>
      <c r="U31" s="130"/>
      <c r="V31" s="129"/>
      <c r="W31" s="74"/>
      <c r="X31" s="74"/>
      <c r="Y31" s="133"/>
      <c r="Z31" s="133"/>
      <c r="AA31" s="74"/>
      <c r="AB31" s="74"/>
      <c r="AC31"/>
    </row>
    <row r="32" spans="1:29" ht="20" customHeight="1">
      <c r="A32" s="17" t="s">
        <v>216</v>
      </c>
      <c r="B32" s="17" t="str">
        <f>'Approved Quote'!A20</f>
        <v>0 - 10</v>
      </c>
      <c r="C32" s="37">
        <v>19</v>
      </c>
      <c r="D32" s="37">
        <v>18</v>
      </c>
      <c r="E32" s="37">
        <v>12</v>
      </c>
      <c r="F32" s="37"/>
      <c r="G32" s="23">
        <f>'Final premium per member'!Y6</f>
        <v>6499</v>
      </c>
      <c r="H32" s="23">
        <f>'Final premium per member'!Z6</f>
        <v>5234</v>
      </c>
      <c r="I32" s="48">
        <f t="shared" si="2"/>
        <v>0.1</v>
      </c>
      <c r="J32" s="48">
        <f t="shared" si="3"/>
        <v>0.05</v>
      </c>
      <c r="K32" s="48">
        <f t="shared" si="4"/>
        <v>0</v>
      </c>
      <c r="L32" s="48">
        <f t="shared" si="5"/>
        <v>0.05</v>
      </c>
      <c r="M32" s="48">
        <f t="shared" si="6"/>
        <v>5.0000000000000001E-3</v>
      </c>
      <c r="N32" s="49">
        <f t="shared" si="1"/>
        <v>5166.7049999999999</v>
      </c>
      <c r="O32" s="49">
        <f t="shared" si="0"/>
        <v>4161.03</v>
      </c>
      <c r="Q32" s="47" t="e">
        <f>N33-#REF!</f>
        <v>#REF!</v>
      </c>
      <c r="R32" s="47" t="e">
        <f>O33-#REF!</f>
        <v>#REF!</v>
      </c>
      <c r="T32" s="129"/>
      <c r="U32" s="130"/>
      <c r="V32" s="129"/>
      <c r="W32" s="74"/>
      <c r="X32" s="74"/>
      <c r="Y32" s="133"/>
      <c r="Z32" s="133"/>
      <c r="AA32" s="74"/>
      <c r="AB32" s="74"/>
      <c r="AC32"/>
    </row>
    <row r="33" spans="1:31" ht="20" customHeight="1">
      <c r="A33" s="17" t="s">
        <v>216</v>
      </c>
      <c r="B33" s="17" t="str">
        <f>'Approved Quote'!A21</f>
        <v>11 - 17</v>
      </c>
      <c r="C33" s="37">
        <v>19</v>
      </c>
      <c r="D33" s="37">
        <v>18</v>
      </c>
      <c r="E33" s="37">
        <v>12</v>
      </c>
      <c r="F33" s="37"/>
      <c r="G33" s="23">
        <f>'Final premium per member'!Y7</f>
        <v>4674</v>
      </c>
      <c r="H33" s="23">
        <f>'Final premium per member'!Z7</f>
        <v>4750</v>
      </c>
      <c r="I33" s="48">
        <f t="shared" si="2"/>
        <v>0.1</v>
      </c>
      <c r="J33" s="48">
        <f t="shared" si="3"/>
        <v>0.05</v>
      </c>
      <c r="K33" s="48">
        <f t="shared" si="4"/>
        <v>0</v>
      </c>
      <c r="L33" s="48">
        <f t="shared" si="5"/>
        <v>0.05</v>
      </c>
      <c r="M33" s="48">
        <f t="shared" si="6"/>
        <v>5.0000000000000001E-3</v>
      </c>
      <c r="N33" s="49">
        <f t="shared" si="1"/>
        <v>3715.8299999999995</v>
      </c>
      <c r="O33" s="49">
        <f t="shared" si="0"/>
        <v>3776.2499999999995</v>
      </c>
      <c r="Q33" s="47" t="e">
        <f>N34-#REF!</f>
        <v>#REF!</v>
      </c>
      <c r="R33" s="47" t="e">
        <f>O34-#REF!</f>
        <v>#REF!</v>
      </c>
      <c r="Y33" s="134">
        <f>SUM(Y29:Y32)</f>
        <v>0</v>
      </c>
      <c r="Z33" s="134">
        <f>SUM(Z29:Z32)</f>
        <v>0</v>
      </c>
      <c r="AB33"/>
      <c r="AC33"/>
    </row>
    <row r="34" spans="1:31" ht="20" customHeight="1">
      <c r="A34" s="17" t="s">
        <v>216</v>
      </c>
      <c r="B34" s="17" t="str">
        <f>'Approved Quote'!A22</f>
        <v>18 - 25</v>
      </c>
      <c r="C34" s="37">
        <v>19</v>
      </c>
      <c r="D34" s="37">
        <v>18</v>
      </c>
      <c r="E34" s="37">
        <v>12</v>
      </c>
      <c r="F34" s="37"/>
      <c r="G34" s="23">
        <f>'Final premium per member'!Y8</f>
        <v>5253</v>
      </c>
      <c r="H34" s="23">
        <f>'Final premium per member'!Z8</f>
        <v>5997</v>
      </c>
      <c r="I34" s="48">
        <f t="shared" si="2"/>
        <v>0.1</v>
      </c>
      <c r="J34" s="48">
        <f t="shared" si="3"/>
        <v>0.05</v>
      </c>
      <c r="K34" s="48">
        <f t="shared" si="4"/>
        <v>0</v>
      </c>
      <c r="L34" s="48">
        <f t="shared" si="5"/>
        <v>0.05</v>
      </c>
      <c r="M34" s="48">
        <f t="shared" si="6"/>
        <v>5.0000000000000001E-3</v>
      </c>
      <c r="N34" s="49">
        <f t="shared" si="1"/>
        <v>4176.1349999999993</v>
      </c>
      <c r="O34" s="49">
        <f t="shared" si="0"/>
        <v>4767.6149999999998</v>
      </c>
      <c r="Q34" s="47" t="e">
        <f>N35-#REF!</f>
        <v>#REF!</v>
      </c>
      <c r="R34" s="47" t="e">
        <f>O35-#REF!</f>
        <v>#REF!</v>
      </c>
      <c r="AB34"/>
      <c r="AC34"/>
    </row>
    <row r="35" spans="1:31" ht="20" customHeight="1">
      <c r="A35" s="17" t="s">
        <v>216</v>
      </c>
      <c r="B35" s="17" t="str">
        <f>'Approved Quote'!A23</f>
        <v>26 - 30</v>
      </c>
      <c r="C35" s="37">
        <v>19</v>
      </c>
      <c r="D35" s="37">
        <v>18</v>
      </c>
      <c r="E35" s="37">
        <v>12</v>
      </c>
      <c r="F35" s="37"/>
      <c r="G35" s="23">
        <f>'Final premium per member'!Y9</f>
        <v>5833</v>
      </c>
      <c r="H35" s="23">
        <f>'Final premium per member'!Z9</f>
        <v>7304</v>
      </c>
      <c r="I35" s="48">
        <f t="shared" si="2"/>
        <v>0.1</v>
      </c>
      <c r="J35" s="48">
        <f t="shared" si="3"/>
        <v>0.05</v>
      </c>
      <c r="K35" s="48">
        <f t="shared" si="4"/>
        <v>0</v>
      </c>
      <c r="L35" s="48">
        <f t="shared" si="5"/>
        <v>0.05</v>
      </c>
      <c r="M35" s="48">
        <f t="shared" si="6"/>
        <v>5.0000000000000001E-3</v>
      </c>
      <c r="N35" s="49">
        <f t="shared" si="1"/>
        <v>4637.2349999999997</v>
      </c>
      <c r="O35" s="49">
        <f t="shared" si="0"/>
        <v>5806.6799999999994</v>
      </c>
      <c r="Q35" s="47" t="e">
        <f>N36-#REF!</f>
        <v>#REF!</v>
      </c>
      <c r="R35" s="47" t="e">
        <f>O36-#REF!</f>
        <v>#REF!</v>
      </c>
      <c r="V35" s="131"/>
      <c r="AB35"/>
      <c r="AC35"/>
    </row>
    <row r="36" spans="1:31" ht="20" customHeight="1">
      <c r="A36" s="17" t="s">
        <v>216</v>
      </c>
      <c r="B36" s="17" t="str">
        <f>'Approved Quote'!A24</f>
        <v>31 - 35</v>
      </c>
      <c r="C36" s="37">
        <v>19</v>
      </c>
      <c r="D36" s="37">
        <v>18</v>
      </c>
      <c r="E36" s="37">
        <v>12</v>
      </c>
      <c r="F36" s="37"/>
      <c r="G36" s="23">
        <f>'Final premium per member'!Y10</f>
        <v>6915</v>
      </c>
      <c r="H36" s="23">
        <f>'Final premium per member'!Z10</f>
        <v>8606</v>
      </c>
      <c r="I36" s="48">
        <f t="shared" si="2"/>
        <v>0.1</v>
      </c>
      <c r="J36" s="48">
        <f t="shared" si="3"/>
        <v>0.05</v>
      </c>
      <c r="K36" s="48">
        <f t="shared" si="4"/>
        <v>0</v>
      </c>
      <c r="L36" s="48">
        <f t="shared" si="5"/>
        <v>0.05</v>
      </c>
      <c r="M36" s="48">
        <f t="shared" si="6"/>
        <v>5.0000000000000001E-3</v>
      </c>
      <c r="N36" s="49">
        <f t="shared" si="1"/>
        <v>5497.4249999999993</v>
      </c>
      <c r="O36" s="49">
        <f t="shared" si="0"/>
        <v>6841.7699999999995</v>
      </c>
      <c r="Q36" s="47" t="e">
        <f>N37-#REF!</f>
        <v>#REF!</v>
      </c>
      <c r="R36" s="47" t="e">
        <f>O37-#REF!</f>
        <v>#REF!</v>
      </c>
      <c r="V36" s="131"/>
      <c r="AB36"/>
      <c r="AC36"/>
    </row>
    <row r="37" spans="1:31" ht="20" customHeight="1">
      <c r="A37" s="17" t="s">
        <v>216</v>
      </c>
      <c r="B37" s="17" t="str">
        <f>'Approved Quote'!A25</f>
        <v>36 - 40</v>
      </c>
      <c r="C37" s="37">
        <v>19</v>
      </c>
      <c r="D37" s="37">
        <v>18</v>
      </c>
      <c r="E37" s="37">
        <v>12</v>
      </c>
      <c r="F37" s="37"/>
      <c r="G37" s="23">
        <f>'Final premium per member'!Y11</f>
        <v>8397</v>
      </c>
      <c r="H37" s="23">
        <f>'Final premium per member'!Z11</f>
        <v>10589</v>
      </c>
      <c r="I37" s="48">
        <f t="shared" si="2"/>
        <v>0.1</v>
      </c>
      <c r="J37" s="48">
        <f t="shared" si="3"/>
        <v>0.05</v>
      </c>
      <c r="K37" s="48">
        <f t="shared" si="4"/>
        <v>0</v>
      </c>
      <c r="L37" s="48">
        <f t="shared" si="5"/>
        <v>0.05</v>
      </c>
      <c r="M37" s="48">
        <f t="shared" si="6"/>
        <v>5.0000000000000001E-3</v>
      </c>
      <c r="N37" s="49">
        <f t="shared" si="1"/>
        <v>6675.6149999999998</v>
      </c>
      <c r="O37" s="49">
        <f t="shared" si="0"/>
        <v>8418.2549999999992</v>
      </c>
      <c r="Q37" s="47" t="e">
        <f>N38-#REF!</f>
        <v>#REF!</v>
      </c>
      <c r="R37" s="47" t="e">
        <f>O38-#REF!</f>
        <v>#REF!</v>
      </c>
      <c r="T37" s="131"/>
      <c r="U37" s="131"/>
      <c r="V37" s="131"/>
      <c r="W37" s="131"/>
      <c r="X37" s="131"/>
      <c r="Y37" s="131"/>
      <c r="Z37" s="131"/>
      <c r="AA37" s="131"/>
      <c r="AB37" s="131"/>
      <c r="AC37" s="131"/>
      <c r="AD37" s="131"/>
      <c r="AE37" s="131"/>
    </row>
    <row r="38" spans="1:31" ht="20" customHeight="1">
      <c r="A38" s="17" t="s">
        <v>216</v>
      </c>
      <c r="B38" s="17" t="str">
        <f>'Approved Quote'!A26</f>
        <v>41 - 45</v>
      </c>
      <c r="C38" s="37">
        <v>19</v>
      </c>
      <c r="D38" s="37">
        <v>18</v>
      </c>
      <c r="E38" s="37">
        <v>12</v>
      </c>
      <c r="F38" s="37"/>
      <c r="G38" s="23">
        <f>'Final premium per member'!Y12</f>
        <v>8795</v>
      </c>
      <c r="H38" s="23">
        <f>'Final premium per member'!Z12</f>
        <v>12068</v>
      </c>
      <c r="I38" s="48">
        <f t="shared" si="2"/>
        <v>0.1</v>
      </c>
      <c r="J38" s="48">
        <f t="shared" si="3"/>
        <v>0.05</v>
      </c>
      <c r="K38" s="48">
        <f t="shared" si="4"/>
        <v>0</v>
      </c>
      <c r="L38" s="48">
        <f t="shared" si="5"/>
        <v>0.05</v>
      </c>
      <c r="M38" s="48">
        <f t="shared" si="6"/>
        <v>5.0000000000000001E-3</v>
      </c>
      <c r="N38" s="49">
        <f t="shared" si="1"/>
        <v>6992.0249999999996</v>
      </c>
      <c r="O38" s="49">
        <f t="shared" si="0"/>
        <v>9594.06</v>
      </c>
      <c r="Q38" s="47" t="e">
        <f>N39-#REF!</f>
        <v>#REF!</v>
      </c>
      <c r="R38" s="47" t="e">
        <f>O39-#REF!</f>
        <v>#REF!</v>
      </c>
      <c r="T38" s="321"/>
      <c r="U38" s="322"/>
      <c r="V38" s="321"/>
      <c r="W38" s="323"/>
      <c r="X38" s="321"/>
      <c r="Y38" s="321"/>
      <c r="Z38" s="132"/>
      <c r="AA38" s="132"/>
      <c r="AB38" s="324"/>
      <c r="AC38" s="321"/>
      <c r="AD38" s="321"/>
      <c r="AE38" s="321"/>
    </row>
    <row r="39" spans="1:31" ht="20" customHeight="1">
      <c r="A39" s="17" t="s">
        <v>216</v>
      </c>
      <c r="B39" s="17" t="str">
        <f>'Approved Quote'!A27</f>
        <v>46 - 50</v>
      </c>
      <c r="C39" s="37">
        <v>19</v>
      </c>
      <c r="D39" s="37">
        <v>18</v>
      </c>
      <c r="E39" s="37">
        <v>12</v>
      </c>
      <c r="F39" s="37"/>
      <c r="G39" s="23">
        <f>'Final premium per member'!Y13</f>
        <v>11304</v>
      </c>
      <c r="H39" s="23">
        <f>'Final premium per member'!Z13</f>
        <v>14951</v>
      </c>
      <c r="I39" s="48">
        <f t="shared" si="2"/>
        <v>0.1</v>
      </c>
      <c r="J39" s="48">
        <f t="shared" si="3"/>
        <v>0.05</v>
      </c>
      <c r="K39" s="48">
        <f t="shared" si="4"/>
        <v>0</v>
      </c>
      <c r="L39" s="48">
        <f t="shared" si="5"/>
        <v>0.05</v>
      </c>
      <c r="M39" s="48">
        <f t="shared" si="6"/>
        <v>5.0000000000000001E-3</v>
      </c>
      <c r="N39" s="49">
        <f t="shared" si="1"/>
        <v>8986.6799999999985</v>
      </c>
      <c r="O39" s="49">
        <f t="shared" si="0"/>
        <v>11886.044999999998</v>
      </c>
      <c r="Q39" s="47" t="e">
        <f>N40-#REF!</f>
        <v>#REF!</v>
      </c>
      <c r="R39" s="47" t="e">
        <f>O40-#REF!</f>
        <v>#REF!</v>
      </c>
      <c r="T39" s="321"/>
      <c r="U39" s="322"/>
      <c r="V39" s="321"/>
      <c r="W39" s="323"/>
      <c r="X39" s="321"/>
      <c r="Y39" s="321"/>
      <c r="Z39" s="132"/>
      <c r="AA39" s="132"/>
      <c r="AB39" s="324"/>
      <c r="AC39" s="321"/>
      <c r="AD39" s="321"/>
      <c r="AE39" s="321"/>
    </row>
    <row r="40" spans="1:31" ht="20" customHeight="1">
      <c r="A40" s="17" t="s">
        <v>216</v>
      </c>
      <c r="B40" s="17" t="str">
        <f>'Approved Quote'!A28</f>
        <v>51 - 55</v>
      </c>
      <c r="C40" s="37">
        <v>19</v>
      </c>
      <c r="D40" s="37">
        <v>18</v>
      </c>
      <c r="E40" s="37">
        <v>12</v>
      </c>
      <c r="F40" s="37"/>
      <c r="G40" s="23">
        <f>'Final premium per member'!Y14</f>
        <v>14946</v>
      </c>
      <c r="H40" s="23">
        <f>'Final premium per member'!Z14</f>
        <v>19507</v>
      </c>
      <c r="I40" s="48">
        <f t="shared" si="2"/>
        <v>0.1</v>
      </c>
      <c r="J40" s="48">
        <f t="shared" si="3"/>
        <v>0.05</v>
      </c>
      <c r="K40" s="48">
        <f t="shared" si="4"/>
        <v>0</v>
      </c>
      <c r="L40" s="48">
        <f t="shared" si="5"/>
        <v>0.05</v>
      </c>
      <c r="M40" s="48">
        <f t="shared" si="6"/>
        <v>5.0000000000000001E-3</v>
      </c>
      <c r="N40" s="49">
        <f t="shared" si="1"/>
        <v>11882.07</v>
      </c>
      <c r="O40" s="49">
        <f t="shared" si="0"/>
        <v>15508.064999999999</v>
      </c>
      <c r="Q40" s="47" t="e">
        <f>N41-#REF!</f>
        <v>#REF!</v>
      </c>
      <c r="R40" s="47" t="e">
        <f>O41-#REF!</f>
        <v>#REF!</v>
      </c>
      <c r="T40" s="132"/>
      <c r="U40" s="135"/>
      <c r="V40" s="132"/>
      <c r="W40" s="136"/>
      <c r="X40" s="132"/>
      <c r="Y40" s="132"/>
      <c r="Z40" s="132"/>
      <c r="AA40" s="132"/>
      <c r="AB40" s="132"/>
      <c r="AC40" s="132"/>
      <c r="AD40" s="132"/>
      <c r="AE40" s="132"/>
    </row>
    <row r="41" spans="1:31" ht="20" customHeight="1">
      <c r="A41" s="17" t="s">
        <v>216</v>
      </c>
      <c r="B41" s="17" t="str">
        <f>'Approved Quote'!A29</f>
        <v>56 - 59</v>
      </c>
      <c r="C41" s="37">
        <v>19</v>
      </c>
      <c r="D41" s="37">
        <v>18</v>
      </c>
      <c r="E41" s="37">
        <v>12</v>
      </c>
      <c r="F41" s="37"/>
      <c r="G41" s="23">
        <f>'Final premium per member'!Y15</f>
        <v>20128</v>
      </c>
      <c r="H41" s="23">
        <f>'Final premium per member'!Z15</f>
        <v>23729</v>
      </c>
      <c r="I41" s="48">
        <f t="shared" si="2"/>
        <v>0.1</v>
      </c>
      <c r="J41" s="48">
        <f t="shared" si="3"/>
        <v>0.05</v>
      </c>
      <c r="K41" s="48">
        <f t="shared" si="4"/>
        <v>0</v>
      </c>
      <c r="L41" s="48">
        <f t="shared" si="5"/>
        <v>0.05</v>
      </c>
      <c r="M41" s="48">
        <f t="shared" si="6"/>
        <v>5.0000000000000001E-3</v>
      </c>
      <c r="N41" s="49">
        <f t="shared" si="1"/>
        <v>16001.759999999998</v>
      </c>
      <c r="O41" s="49">
        <f t="shared" si="0"/>
        <v>18864.554999999997</v>
      </c>
      <c r="Q41" s="47" t="e">
        <f>N42-#REF!</f>
        <v>#REF!</v>
      </c>
      <c r="R41" s="47" t="e">
        <f>O42-#REF!</f>
        <v>#REF!</v>
      </c>
      <c r="T41" s="137"/>
      <c r="U41" s="135"/>
      <c r="V41" s="132"/>
      <c r="W41" s="136"/>
      <c r="X41" s="132"/>
      <c r="Y41" s="132"/>
      <c r="Z41" s="132"/>
      <c r="AA41" s="132"/>
      <c r="AB41" s="132"/>
      <c r="AC41" s="132"/>
      <c r="AD41" s="132"/>
      <c r="AE41" s="132"/>
    </row>
    <row r="42" spans="1:31" ht="20" customHeight="1">
      <c r="A42" s="17" t="s">
        <v>216</v>
      </c>
      <c r="B42" s="17" t="str">
        <f>'Approved Quote'!A30</f>
        <v>60 - 64</v>
      </c>
      <c r="C42" s="37">
        <v>19</v>
      </c>
      <c r="D42" s="37">
        <v>18</v>
      </c>
      <c r="E42" s="37">
        <v>12</v>
      </c>
      <c r="F42" s="37"/>
      <c r="G42" s="23">
        <f>'Final premium per member'!Y16</f>
        <v>24628</v>
      </c>
      <c r="H42" s="23">
        <f>'Final premium per member'!Z16</f>
        <v>28071</v>
      </c>
      <c r="I42" s="48">
        <f t="shared" si="2"/>
        <v>0.1</v>
      </c>
      <c r="J42" s="48">
        <f t="shared" si="3"/>
        <v>0.05</v>
      </c>
      <c r="K42" s="48">
        <f t="shared" si="4"/>
        <v>0</v>
      </c>
      <c r="L42" s="48">
        <f t="shared" si="5"/>
        <v>0.05</v>
      </c>
      <c r="M42" s="48">
        <f t="shared" si="6"/>
        <v>5.0000000000000001E-3</v>
      </c>
      <c r="N42" s="49">
        <f t="shared" si="1"/>
        <v>19579.259999999998</v>
      </c>
      <c r="O42" s="49">
        <f t="shared" si="0"/>
        <v>22316.445</v>
      </c>
      <c r="T42" s="132"/>
      <c r="U42" s="135"/>
      <c r="V42" s="132"/>
      <c r="W42" s="136"/>
      <c r="X42" s="132"/>
      <c r="Y42" s="132"/>
      <c r="Z42" s="132"/>
      <c r="AA42" s="132"/>
      <c r="AB42" s="132"/>
      <c r="AC42" s="132"/>
      <c r="AD42" s="132"/>
      <c r="AE42" s="132"/>
    </row>
    <row r="43" spans="1:31" ht="20" customHeight="1">
      <c r="A43" s="17" t="s">
        <v>216</v>
      </c>
      <c r="B43" s="17" t="str">
        <f>'Approved Quote'!A31</f>
        <v>65 - 99</v>
      </c>
      <c r="C43" s="37"/>
      <c r="D43" s="37"/>
      <c r="E43" s="37"/>
      <c r="F43" s="37"/>
      <c r="G43" s="23">
        <f>'Final premium per member'!Y17</f>
        <v>43786</v>
      </c>
      <c r="H43" s="23">
        <f>'Final premium per member'!Z17</f>
        <v>49985</v>
      </c>
      <c r="I43" s="48">
        <f t="shared" si="2"/>
        <v>0.1</v>
      </c>
      <c r="J43" s="48">
        <f t="shared" si="3"/>
        <v>0.05</v>
      </c>
      <c r="K43" s="48">
        <f t="shared" si="4"/>
        <v>0</v>
      </c>
      <c r="L43" s="48">
        <f t="shared" si="5"/>
        <v>0.05</v>
      </c>
      <c r="M43" s="48">
        <f t="shared" si="6"/>
        <v>5.0000000000000001E-3</v>
      </c>
      <c r="N43" s="49">
        <f t="shared" si="1"/>
        <v>34809.869999999995</v>
      </c>
      <c r="O43" s="49">
        <f t="shared" si="0"/>
        <v>39738.074999999997</v>
      </c>
      <c r="T43" s="94"/>
      <c r="U43"/>
      <c r="V43"/>
      <c r="W43"/>
      <c r="X43"/>
      <c r="Y43"/>
      <c r="Z43"/>
      <c r="AA43"/>
      <c r="AB43"/>
      <c r="AC43"/>
      <c r="AD43"/>
      <c r="AE43"/>
    </row>
    <row r="44" spans="1:31" ht="20" customHeight="1">
      <c r="A44" s="105" t="s">
        <v>217</v>
      </c>
      <c r="B44" s="105" t="str">
        <f>MID('Approved Quote'!A34,20,5)</f>
        <v>18-45</v>
      </c>
      <c r="C44" s="106">
        <v>19</v>
      </c>
      <c r="D44" s="106">
        <v>18</v>
      </c>
      <c r="E44" s="106">
        <v>12</v>
      </c>
      <c r="F44" s="106"/>
      <c r="G44" s="107"/>
      <c r="H44" s="107">
        <f>'Final premium per member'!W2</f>
        <v>5244</v>
      </c>
      <c r="I44" s="108">
        <f>$O$11</f>
        <v>0.1</v>
      </c>
      <c r="J44" s="108">
        <f>$O$12</f>
        <v>0.05</v>
      </c>
      <c r="K44" s="108">
        <f>$O$13</f>
        <v>0</v>
      </c>
      <c r="L44" s="108">
        <f>$O$14</f>
        <v>0.05</v>
      </c>
      <c r="M44" s="108">
        <f>$O$15</f>
        <v>5.0000000000000001E-3</v>
      </c>
      <c r="N44" s="109" t="str">
        <f t="shared" si="1"/>
        <v/>
      </c>
      <c r="O44" s="109">
        <f t="shared" si="0"/>
        <v>4168.9799999999996</v>
      </c>
      <c r="P44" s="116" t="s">
        <v>218</v>
      </c>
      <c r="V44" s="132"/>
      <c r="AB44"/>
      <c r="AC44"/>
    </row>
    <row r="45" spans="1:31" ht="20" hidden="1" customHeight="1">
      <c r="A45" s="31" t="s">
        <v>54</v>
      </c>
      <c r="AB45"/>
      <c r="AC45"/>
    </row>
    <row r="46" spans="1:31" ht="20" hidden="1" customHeight="1">
      <c r="A46" s="105" t="s">
        <v>219</v>
      </c>
      <c r="B46" s="105">
        <f>'Approved Quote'!A45</f>
        <v>0</v>
      </c>
      <c r="C46" s="106">
        <v>19</v>
      </c>
      <c r="D46" s="106">
        <v>18</v>
      </c>
      <c r="E46" s="106">
        <v>12</v>
      </c>
      <c r="F46" s="106"/>
      <c r="G46" s="107">
        <f>'Final premium per member'!AA7</f>
        <v>0</v>
      </c>
      <c r="H46" s="107">
        <f>'Final premium per member'!AB7</f>
        <v>0</v>
      </c>
      <c r="I46" s="108">
        <f>$O$11</f>
        <v>0.1</v>
      </c>
      <c r="J46" s="108">
        <f>$O$12</f>
        <v>0.05</v>
      </c>
      <c r="K46" s="108">
        <f>$O$13</f>
        <v>0</v>
      </c>
      <c r="L46" s="108">
        <f>$O$14</f>
        <v>0.05</v>
      </c>
      <c r="M46" s="108">
        <f>$O$15</f>
        <v>5.0000000000000001E-3</v>
      </c>
      <c r="N46" s="109">
        <f t="shared" ref="N46:N69" si="7">IF(G46="","",G46*(1-$O$16))</f>
        <v>0</v>
      </c>
      <c r="O46" s="109">
        <f t="shared" ref="O46:O69" si="8">IF(H46="","",H46*(1-$O$16))</f>
        <v>0</v>
      </c>
      <c r="Q46" s="110" t="e">
        <f>N46-#REF!</f>
        <v>#REF!</v>
      </c>
      <c r="R46" s="110" t="e">
        <f>O46-#REF!</f>
        <v>#REF!</v>
      </c>
      <c r="AB46"/>
      <c r="AC46"/>
    </row>
    <row r="47" spans="1:31" ht="20" hidden="1" customHeight="1">
      <c r="A47" s="105" t="s">
        <v>219</v>
      </c>
      <c r="B47" s="105">
        <f>'Approved Quote'!A46</f>
        <v>0</v>
      </c>
      <c r="C47" s="106">
        <v>19</v>
      </c>
      <c r="D47" s="106">
        <v>18</v>
      </c>
      <c r="E47" s="106">
        <v>12</v>
      </c>
      <c r="F47" s="106"/>
      <c r="G47" s="107">
        <f>'Final premium per member'!AA8</f>
        <v>0</v>
      </c>
      <c r="H47" s="107">
        <f>'Final premium per member'!AB8</f>
        <v>0</v>
      </c>
      <c r="I47" s="108">
        <f>$O$11</f>
        <v>0.1</v>
      </c>
      <c r="J47" s="108">
        <f>$O$12</f>
        <v>0.05</v>
      </c>
      <c r="K47" s="108">
        <f>$O$13</f>
        <v>0</v>
      </c>
      <c r="L47" s="108">
        <f>$O$14</f>
        <v>0.05</v>
      </c>
      <c r="M47" s="108">
        <f>$O$15</f>
        <v>5.0000000000000001E-3</v>
      </c>
      <c r="N47" s="109">
        <f t="shared" si="7"/>
        <v>0</v>
      </c>
      <c r="O47" s="109">
        <f t="shared" si="8"/>
        <v>0</v>
      </c>
      <c r="Q47" s="110" t="e">
        <f>N47-#REF!</f>
        <v>#REF!</v>
      </c>
      <c r="R47" s="110" t="e">
        <f>O47-#REF!</f>
        <v>#REF!</v>
      </c>
      <c r="AB47"/>
      <c r="AC47"/>
    </row>
    <row r="48" spans="1:31" ht="20" hidden="1" customHeight="1">
      <c r="A48" s="105" t="s">
        <v>219</v>
      </c>
      <c r="B48" s="105">
        <f>'Approved Quote'!A47</f>
        <v>0</v>
      </c>
      <c r="C48" s="106">
        <v>19</v>
      </c>
      <c r="D48" s="106">
        <v>18</v>
      </c>
      <c r="E48" s="106">
        <v>12</v>
      </c>
      <c r="F48" s="106"/>
      <c r="G48" s="107">
        <f>'Final premium per member'!AA9</f>
        <v>0</v>
      </c>
      <c r="H48" s="107">
        <f>'Final premium per member'!AB9</f>
        <v>0</v>
      </c>
      <c r="I48" s="108">
        <f t="shared" ref="I48:I68" si="9">$O$11</f>
        <v>0.1</v>
      </c>
      <c r="J48" s="108">
        <f t="shared" ref="J48:J68" si="10">$O$12</f>
        <v>0.05</v>
      </c>
      <c r="K48" s="108">
        <f t="shared" ref="K48:K68" si="11">$O$13</f>
        <v>0</v>
      </c>
      <c r="L48" s="108">
        <f t="shared" ref="L48:L68" si="12">$O$14</f>
        <v>0.05</v>
      </c>
      <c r="M48" s="108">
        <f t="shared" ref="M48:M68" si="13">$O$15</f>
        <v>5.0000000000000001E-3</v>
      </c>
      <c r="N48" s="109">
        <f t="shared" si="7"/>
        <v>0</v>
      </c>
      <c r="O48" s="109">
        <f t="shared" si="8"/>
        <v>0</v>
      </c>
      <c r="Q48" s="110" t="e">
        <f>N48-#REF!</f>
        <v>#REF!</v>
      </c>
      <c r="R48" s="110" t="e">
        <f>O48-#REF!</f>
        <v>#REF!</v>
      </c>
      <c r="AB48"/>
      <c r="AC48"/>
    </row>
    <row r="49" spans="1:29" ht="20" hidden="1" customHeight="1">
      <c r="A49" s="105" t="s">
        <v>219</v>
      </c>
      <c r="B49" s="105">
        <f>'Approved Quote'!A48</f>
        <v>0</v>
      </c>
      <c r="C49" s="106">
        <v>19</v>
      </c>
      <c r="D49" s="106">
        <v>18</v>
      </c>
      <c r="E49" s="106">
        <v>12</v>
      </c>
      <c r="F49" s="106"/>
      <c r="G49" s="107">
        <f>'Final premium per member'!AA10</f>
        <v>0</v>
      </c>
      <c r="H49" s="107">
        <f>'Final premium per member'!AB10</f>
        <v>0</v>
      </c>
      <c r="I49" s="108">
        <f t="shared" si="9"/>
        <v>0.1</v>
      </c>
      <c r="J49" s="108">
        <f t="shared" si="10"/>
        <v>0.05</v>
      </c>
      <c r="K49" s="108">
        <f t="shared" si="11"/>
        <v>0</v>
      </c>
      <c r="L49" s="108">
        <f t="shared" si="12"/>
        <v>0.05</v>
      </c>
      <c r="M49" s="108">
        <f t="shared" si="13"/>
        <v>5.0000000000000001E-3</v>
      </c>
      <c r="N49" s="109">
        <f t="shared" si="7"/>
        <v>0</v>
      </c>
      <c r="O49" s="109">
        <f t="shared" si="8"/>
        <v>0</v>
      </c>
      <c r="Q49" s="110" t="e">
        <f>N49-#REF!</f>
        <v>#REF!</v>
      </c>
      <c r="R49" s="110" t="e">
        <f>O49-#REF!</f>
        <v>#REF!</v>
      </c>
      <c r="AB49"/>
      <c r="AC49"/>
    </row>
    <row r="50" spans="1:29" ht="20" hidden="1" customHeight="1">
      <c r="A50" s="105" t="s">
        <v>219</v>
      </c>
      <c r="B50" s="105">
        <f>'Approved Quote'!A49</f>
        <v>0</v>
      </c>
      <c r="C50" s="106">
        <v>19</v>
      </c>
      <c r="D50" s="106">
        <v>18</v>
      </c>
      <c r="E50" s="106">
        <v>12</v>
      </c>
      <c r="F50" s="106"/>
      <c r="G50" s="107">
        <f>'Final premium per member'!AA11</f>
        <v>0</v>
      </c>
      <c r="H50" s="107">
        <f>'Final premium per member'!AB11</f>
        <v>0</v>
      </c>
      <c r="I50" s="108">
        <f t="shared" si="9"/>
        <v>0.1</v>
      </c>
      <c r="J50" s="108">
        <f t="shared" si="10"/>
        <v>0.05</v>
      </c>
      <c r="K50" s="108">
        <f t="shared" si="11"/>
        <v>0</v>
      </c>
      <c r="L50" s="108">
        <f t="shared" si="12"/>
        <v>0.05</v>
      </c>
      <c r="M50" s="108">
        <f t="shared" si="13"/>
        <v>5.0000000000000001E-3</v>
      </c>
      <c r="N50" s="109">
        <f t="shared" si="7"/>
        <v>0</v>
      </c>
      <c r="O50" s="109">
        <f t="shared" si="8"/>
        <v>0</v>
      </c>
      <c r="Q50" s="110" t="e">
        <f>N50-#REF!</f>
        <v>#REF!</v>
      </c>
      <c r="R50" s="110" t="e">
        <f>O50-#REF!</f>
        <v>#REF!</v>
      </c>
      <c r="AB50"/>
      <c r="AC50"/>
    </row>
    <row r="51" spans="1:29" ht="20" hidden="1" customHeight="1">
      <c r="A51" s="105" t="s">
        <v>219</v>
      </c>
      <c r="B51" s="105">
        <f>'Approved Quote'!A50</f>
        <v>0</v>
      </c>
      <c r="C51" s="106">
        <v>19</v>
      </c>
      <c r="D51" s="106">
        <v>18</v>
      </c>
      <c r="E51" s="106">
        <v>12</v>
      </c>
      <c r="F51" s="106"/>
      <c r="G51" s="107">
        <f>'Final premium per member'!AA12</f>
        <v>0</v>
      </c>
      <c r="H51" s="107">
        <f>'Final premium per member'!AB12</f>
        <v>0</v>
      </c>
      <c r="I51" s="108">
        <f t="shared" si="9"/>
        <v>0.1</v>
      </c>
      <c r="J51" s="108">
        <f t="shared" si="10"/>
        <v>0.05</v>
      </c>
      <c r="K51" s="108">
        <f t="shared" si="11"/>
        <v>0</v>
      </c>
      <c r="L51" s="108">
        <f t="shared" si="12"/>
        <v>0.05</v>
      </c>
      <c r="M51" s="108">
        <f t="shared" si="13"/>
        <v>5.0000000000000001E-3</v>
      </c>
      <c r="N51" s="109">
        <f t="shared" si="7"/>
        <v>0</v>
      </c>
      <c r="O51" s="109">
        <f t="shared" si="8"/>
        <v>0</v>
      </c>
      <c r="Q51" s="110" t="e">
        <f>N51-#REF!</f>
        <v>#REF!</v>
      </c>
      <c r="R51" s="110" t="e">
        <f>O51-#REF!</f>
        <v>#REF!</v>
      </c>
      <c r="AB51"/>
      <c r="AC51"/>
    </row>
    <row r="52" spans="1:29" ht="20" hidden="1" customHeight="1">
      <c r="A52" s="105" t="s">
        <v>219</v>
      </c>
      <c r="B52" s="105">
        <f>'Approved Quote'!A51</f>
        <v>0</v>
      </c>
      <c r="C52" s="106">
        <v>19</v>
      </c>
      <c r="D52" s="106">
        <v>18</v>
      </c>
      <c r="E52" s="106">
        <v>12</v>
      </c>
      <c r="F52" s="106"/>
      <c r="G52" s="107">
        <f>'Final premium per member'!AA13</f>
        <v>0</v>
      </c>
      <c r="H52" s="107">
        <f>'Final premium per member'!AB13</f>
        <v>0</v>
      </c>
      <c r="I52" s="108">
        <f t="shared" si="9"/>
        <v>0.1</v>
      </c>
      <c r="J52" s="108">
        <f t="shared" si="10"/>
        <v>0.05</v>
      </c>
      <c r="K52" s="108">
        <f t="shared" si="11"/>
        <v>0</v>
      </c>
      <c r="L52" s="108">
        <f t="shared" si="12"/>
        <v>0.05</v>
      </c>
      <c r="M52" s="108">
        <f t="shared" si="13"/>
        <v>5.0000000000000001E-3</v>
      </c>
      <c r="N52" s="109">
        <f t="shared" si="7"/>
        <v>0</v>
      </c>
      <c r="O52" s="109">
        <f t="shared" si="8"/>
        <v>0</v>
      </c>
      <c r="Q52" s="110" t="e">
        <f>N52-#REF!</f>
        <v>#REF!</v>
      </c>
      <c r="R52" s="110" t="e">
        <f>O52-#REF!</f>
        <v>#REF!</v>
      </c>
      <c r="AB52"/>
      <c r="AC52"/>
    </row>
    <row r="53" spans="1:29" ht="20" hidden="1" customHeight="1">
      <c r="A53" s="105" t="s">
        <v>219</v>
      </c>
      <c r="B53" s="105">
        <f>'Approved Quote'!A52</f>
        <v>0</v>
      </c>
      <c r="C53" s="106">
        <v>19</v>
      </c>
      <c r="D53" s="106">
        <v>18</v>
      </c>
      <c r="E53" s="106">
        <v>12</v>
      </c>
      <c r="F53" s="106"/>
      <c r="G53" s="107">
        <f>'Final premium per member'!AA14</f>
        <v>0</v>
      </c>
      <c r="H53" s="107">
        <f>'Final premium per member'!AB14</f>
        <v>0</v>
      </c>
      <c r="I53" s="108">
        <f t="shared" si="9"/>
        <v>0.1</v>
      </c>
      <c r="J53" s="108">
        <f t="shared" si="10"/>
        <v>0.05</v>
      </c>
      <c r="K53" s="108">
        <f t="shared" si="11"/>
        <v>0</v>
      </c>
      <c r="L53" s="108">
        <f t="shared" si="12"/>
        <v>0.05</v>
      </c>
      <c r="M53" s="108">
        <f t="shared" si="13"/>
        <v>5.0000000000000001E-3</v>
      </c>
      <c r="N53" s="109">
        <f t="shared" si="7"/>
        <v>0</v>
      </c>
      <c r="O53" s="109">
        <f t="shared" si="8"/>
        <v>0</v>
      </c>
      <c r="Q53" s="110" t="e">
        <f>N53-#REF!</f>
        <v>#REF!</v>
      </c>
      <c r="R53" s="110" t="e">
        <f>O53-#REF!</f>
        <v>#REF!</v>
      </c>
      <c r="AB53"/>
      <c r="AC53"/>
    </row>
    <row r="54" spans="1:29" ht="20" hidden="1" customHeight="1">
      <c r="A54" s="105" t="s">
        <v>219</v>
      </c>
      <c r="B54" s="105">
        <f>'Approved Quote'!A53</f>
        <v>0</v>
      </c>
      <c r="C54" s="106">
        <v>19</v>
      </c>
      <c r="D54" s="106">
        <v>18</v>
      </c>
      <c r="E54" s="106">
        <v>12</v>
      </c>
      <c r="F54" s="106"/>
      <c r="G54" s="107">
        <f>'Final premium per member'!AA15</f>
        <v>0</v>
      </c>
      <c r="H54" s="107">
        <f>'Final premium per member'!AB15</f>
        <v>0</v>
      </c>
      <c r="I54" s="108">
        <f t="shared" si="9"/>
        <v>0.1</v>
      </c>
      <c r="J54" s="108">
        <f t="shared" si="10"/>
        <v>0.05</v>
      </c>
      <c r="K54" s="108">
        <f t="shared" si="11"/>
        <v>0</v>
      </c>
      <c r="L54" s="108">
        <f t="shared" si="12"/>
        <v>0.05</v>
      </c>
      <c r="M54" s="108">
        <f t="shared" si="13"/>
        <v>5.0000000000000001E-3</v>
      </c>
      <c r="N54" s="109">
        <f t="shared" si="7"/>
        <v>0</v>
      </c>
      <c r="O54" s="109">
        <f t="shared" si="8"/>
        <v>0</v>
      </c>
      <c r="Q54" s="110" t="e">
        <f>N54-#REF!</f>
        <v>#REF!</v>
      </c>
      <c r="R54" s="110" t="e">
        <f>O54-#REF!</f>
        <v>#REF!</v>
      </c>
      <c r="AB54"/>
      <c r="AC54"/>
    </row>
    <row r="55" spans="1:29" ht="20" hidden="1" customHeight="1">
      <c r="A55" s="105" t="s">
        <v>219</v>
      </c>
      <c r="B55" s="105">
        <f>'Approved Quote'!A54</f>
        <v>0</v>
      </c>
      <c r="C55" s="106">
        <v>19</v>
      </c>
      <c r="D55" s="106">
        <v>18</v>
      </c>
      <c r="E55" s="106">
        <v>12</v>
      </c>
      <c r="F55" s="106"/>
      <c r="G55" s="107">
        <f>'Final premium per member'!AA16</f>
        <v>0</v>
      </c>
      <c r="H55" s="107">
        <f>'Final premium per member'!AB16</f>
        <v>0</v>
      </c>
      <c r="I55" s="108">
        <f t="shared" si="9"/>
        <v>0.1</v>
      </c>
      <c r="J55" s="108">
        <f t="shared" si="10"/>
        <v>0.05</v>
      </c>
      <c r="K55" s="108">
        <f t="shared" si="11"/>
        <v>0</v>
      </c>
      <c r="L55" s="108">
        <f t="shared" si="12"/>
        <v>0.05</v>
      </c>
      <c r="M55" s="108">
        <f t="shared" si="13"/>
        <v>5.0000000000000001E-3</v>
      </c>
      <c r="N55" s="109">
        <f t="shared" si="7"/>
        <v>0</v>
      </c>
      <c r="O55" s="109">
        <f t="shared" si="8"/>
        <v>0</v>
      </c>
      <c r="Q55" s="110" t="e">
        <f>N55-#REF!</f>
        <v>#REF!</v>
      </c>
      <c r="R55" s="110" t="e">
        <f>O55-#REF!</f>
        <v>#REF!</v>
      </c>
      <c r="AB55"/>
      <c r="AC55"/>
    </row>
    <row r="56" spans="1:29" ht="20" hidden="1" customHeight="1">
      <c r="A56" s="105" t="s">
        <v>219</v>
      </c>
      <c r="B56" s="105">
        <f>'Approved Quote'!A55</f>
        <v>0</v>
      </c>
      <c r="C56" s="106"/>
      <c r="D56" s="106"/>
      <c r="E56" s="106"/>
      <c r="F56" s="106"/>
      <c r="G56" s="107">
        <f>'Final premium per member'!AA17</f>
        <v>0</v>
      </c>
      <c r="H56" s="107">
        <f>'Final premium per member'!AB17</f>
        <v>0</v>
      </c>
      <c r="I56" s="108">
        <f t="shared" si="9"/>
        <v>0.1</v>
      </c>
      <c r="J56" s="108">
        <f t="shared" si="10"/>
        <v>0.05</v>
      </c>
      <c r="K56" s="108">
        <f t="shared" si="11"/>
        <v>0</v>
      </c>
      <c r="L56" s="108">
        <f t="shared" si="12"/>
        <v>0.05</v>
      </c>
      <c r="M56" s="108">
        <f t="shared" si="13"/>
        <v>5.0000000000000001E-3</v>
      </c>
      <c r="N56" s="109">
        <f t="shared" si="7"/>
        <v>0</v>
      </c>
      <c r="O56" s="109">
        <f t="shared" si="8"/>
        <v>0</v>
      </c>
      <c r="Q56" s="110" t="e">
        <f>N56-#REF!</f>
        <v>#REF!</v>
      </c>
      <c r="R56" s="110" t="e">
        <f>O56-#REF!</f>
        <v>#REF!</v>
      </c>
      <c r="AB56"/>
      <c r="AC56"/>
    </row>
    <row r="57" spans="1:29" ht="20" hidden="1" customHeight="1">
      <c r="A57" s="17" t="s">
        <v>220</v>
      </c>
      <c r="B57" s="17">
        <f>'Approved Quote'!A44</f>
        <v>0</v>
      </c>
      <c r="C57" s="37">
        <v>19</v>
      </c>
      <c r="D57" s="37">
        <v>18</v>
      </c>
      <c r="E57" s="37">
        <v>12</v>
      </c>
      <c r="F57" s="37"/>
      <c r="G57" s="23">
        <f>'Final premium per member'!AC6</f>
        <v>0</v>
      </c>
      <c r="H57" s="23">
        <f>'Final premium per member'!AD6</f>
        <v>0</v>
      </c>
      <c r="I57" s="48">
        <f t="shared" si="9"/>
        <v>0.1</v>
      </c>
      <c r="J57" s="48">
        <f t="shared" si="10"/>
        <v>0.05</v>
      </c>
      <c r="K57" s="48">
        <f t="shared" si="11"/>
        <v>0</v>
      </c>
      <c r="L57" s="48">
        <f t="shared" si="12"/>
        <v>0.05</v>
      </c>
      <c r="M57" s="48">
        <f t="shared" si="13"/>
        <v>5.0000000000000001E-3</v>
      </c>
      <c r="N57" s="49">
        <f t="shared" si="7"/>
        <v>0</v>
      </c>
      <c r="O57" s="49">
        <f t="shared" si="8"/>
        <v>0</v>
      </c>
      <c r="Q57" s="110" t="e">
        <f>N57-#REF!</f>
        <v>#REF!</v>
      </c>
      <c r="R57" s="110" t="e">
        <f>O57-#REF!</f>
        <v>#REF!</v>
      </c>
      <c r="AB57"/>
      <c r="AC57"/>
    </row>
    <row r="58" spans="1:29" ht="20" hidden="1" customHeight="1">
      <c r="A58" s="17" t="s">
        <v>220</v>
      </c>
      <c r="B58" s="17">
        <f>'Approved Quote'!A45</f>
        <v>0</v>
      </c>
      <c r="C58" s="37">
        <v>19</v>
      </c>
      <c r="D58" s="37">
        <v>18</v>
      </c>
      <c r="E58" s="37">
        <v>12</v>
      </c>
      <c r="F58" s="37"/>
      <c r="G58" s="23">
        <f>'Final premium per member'!AC7</f>
        <v>0</v>
      </c>
      <c r="H58" s="23">
        <f>'Final premium per member'!AD7</f>
        <v>0</v>
      </c>
      <c r="I58" s="48">
        <f t="shared" si="9"/>
        <v>0.1</v>
      </c>
      <c r="J58" s="48">
        <f t="shared" si="10"/>
        <v>0.05</v>
      </c>
      <c r="K58" s="48">
        <f t="shared" si="11"/>
        <v>0</v>
      </c>
      <c r="L58" s="48">
        <f t="shared" si="12"/>
        <v>0.05</v>
      </c>
      <c r="M58" s="48">
        <f t="shared" si="13"/>
        <v>5.0000000000000001E-3</v>
      </c>
      <c r="N58" s="49">
        <f t="shared" si="7"/>
        <v>0</v>
      </c>
      <c r="O58" s="49">
        <f t="shared" si="8"/>
        <v>0</v>
      </c>
      <c r="Q58" s="110" t="e">
        <f>N58-#REF!</f>
        <v>#REF!</v>
      </c>
      <c r="R58" s="110" t="e">
        <f>O58-#REF!</f>
        <v>#REF!</v>
      </c>
      <c r="AB58"/>
      <c r="AC58"/>
    </row>
    <row r="59" spans="1:29" ht="20" hidden="1" customHeight="1">
      <c r="A59" s="17" t="s">
        <v>220</v>
      </c>
      <c r="B59" s="17">
        <f>'Approved Quote'!A46</f>
        <v>0</v>
      </c>
      <c r="C59" s="37">
        <v>19</v>
      </c>
      <c r="D59" s="37">
        <v>18</v>
      </c>
      <c r="E59" s="37">
        <v>12</v>
      </c>
      <c r="F59" s="37"/>
      <c r="G59" s="23">
        <f>'Final premium per member'!AC8</f>
        <v>0</v>
      </c>
      <c r="H59" s="23">
        <f>'Final premium per member'!AD8</f>
        <v>0</v>
      </c>
      <c r="I59" s="48">
        <f t="shared" si="9"/>
        <v>0.1</v>
      </c>
      <c r="J59" s="48">
        <f t="shared" si="10"/>
        <v>0.05</v>
      </c>
      <c r="K59" s="48">
        <f t="shared" si="11"/>
        <v>0</v>
      </c>
      <c r="L59" s="48">
        <f t="shared" si="12"/>
        <v>0.05</v>
      </c>
      <c r="M59" s="48">
        <f t="shared" si="13"/>
        <v>5.0000000000000001E-3</v>
      </c>
      <c r="N59" s="49">
        <f t="shared" si="7"/>
        <v>0</v>
      </c>
      <c r="O59" s="49">
        <f t="shared" si="8"/>
        <v>0</v>
      </c>
      <c r="Q59" s="110" t="e">
        <f>N59-#REF!</f>
        <v>#REF!</v>
      </c>
      <c r="R59" s="110" t="e">
        <f>O59-#REF!</f>
        <v>#REF!</v>
      </c>
      <c r="AB59"/>
      <c r="AC59"/>
    </row>
    <row r="60" spans="1:29" ht="20" hidden="1" customHeight="1">
      <c r="A60" s="17" t="s">
        <v>220</v>
      </c>
      <c r="B60" s="17">
        <f>'Approved Quote'!A47</f>
        <v>0</v>
      </c>
      <c r="C60" s="37">
        <v>19</v>
      </c>
      <c r="D60" s="37">
        <v>18</v>
      </c>
      <c r="E60" s="37">
        <v>12</v>
      </c>
      <c r="F60" s="37"/>
      <c r="G60" s="23">
        <f>'Final premium per member'!AC9</f>
        <v>0</v>
      </c>
      <c r="H60" s="23">
        <f>'Final premium per member'!AD9</f>
        <v>0</v>
      </c>
      <c r="I60" s="48">
        <f t="shared" si="9"/>
        <v>0.1</v>
      </c>
      <c r="J60" s="48">
        <f t="shared" si="10"/>
        <v>0.05</v>
      </c>
      <c r="K60" s="48">
        <f t="shared" si="11"/>
        <v>0</v>
      </c>
      <c r="L60" s="48">
        <f t="shared" si="12"/>
        <v>0.05</v>
      </c>
      <c r="M60" s="48">
        <f t="shared" si="13"/>
        <v>5.0000000000000001E-3</v>
      </c>
      <c r="N60" s="49">
        <f t="shared" si="7"/>
        <v>0</v>
      </c>
      <c r="O60" s="49">
        <f t="shared" si="8"/>
        <v>0</v>
      </c>
      <c r="Q60" s="110" t="e">
        <f>N60-#REF!</f>
        <v>#REF!</v>
      </c>
      <c r="R60" s="110" t="e">
        <f>O60-#REF!</f>
        <v>#REF!</v>
      </c>
      <c r="AB60"/>
      <c r="AC60"/>
    </row>
    <row r="61" spans="1:29" ht="20" hidden="1" customHeight="1">
      <c r="A61" s="17" t="s">
        <v>220</v>
      </c>
      <c r="B61" s="17">
        <f>'Approved Quote'!A48</f>
        <v>0</v>
      </c>
      <c r="C61" s="37">
        <v>19</v>
      </c>
      <c r="D61" s="37">
        <v>18</v>
      </c>
      <c r="E61" s="37">
        <v>12</v>
      </c>
      <c r="F61" s="37"/>
      <c r="G61" s="23">
        <f>'Final premium per member'!AC10</f>
        <v>0</v>
      </c>
      <c r="H61" s="23">
        <f>'Final premium per member'!AD10</f>
        <v>0</v>
      </c>
      <c r="I61" s="48">
        <f t="shared" si="9"/>
        <v>0.1</v>
      </c>
      <c r="J61" s="48">
        <f t="shared" si="10"/>
        <v>0.05</v>
      </c>
      <c r="K61" s="48">
        <f t="shared" si="11"/>
        <v>0</v>
      </c>
      <c r="L61" s="48">
        <f t="shared" si="12"/>
        <v>0.05</v>
      </c>
      <c r="M61" s="48">
        <f t="shared" si="13"/>
        <v>5.0000000000000001E-3</v>
      </c>
      <c r="N61" s="49">
        <f t="shared" si="7"/>
        <v>0</v>
      </c>
      <c r="O61" s="49">
        <f t="shared" si="8"/>
        <v>0</v>
      </c>
      <c r="Q61" s="110" t="e">
        <f>N61-#REF!</f>
        <v>#REF!</v>
      </c>
      <c r="R61" s="110" t="e">
        <f>O61-#REF!</f>
        <v>#REF!</v>
      </c>
      <c r="AB61"/>
      <c r="AC61"/>
    </row>
    <row r="62" spans="1:29" ht="20" hidden="1" customHeight="1">
      <c r="A62" s="17" t="s">
        <v>220</v>
      </c>
      <c r="B62" s="17">
        <f>'Approved Quote'!A49</f>
        <v>0</v>
      </c>
      <c r="C62" s="37">
        <v>19</v>
      </c>
      <c r="D62" s="37">
        <v>18</v>
      </c>
      <c r="E62" s="37">
        <v>12</v>
      </c>
      <c r="F62" s="37"/>
      <c r="G62" s="23">
        <f>'Final premium per member'!AC11</f>
        <v>0</v>
      </c>
      <c r="H62" s="23">
        <f>'Final premium per member'!AD11</f>
        <v>0</v>
      </c>
      <c r="I62" s="48">
        <f t="shared" si="9"/>
        <v>0.1</v>
      </c>
      <c r="J62" s="48">
        <f t="shared" si="10"/>
        <v>0.05</v>
      </c>
      <c r="K62" s="48">
        <f t="shared" si="11"/>
        <v>0</v>
      </c>
      <c r="L62" s="48">
        <f t="shared" si="12"/>
        <v>0.05</v>
      </c>
      <c r="M62" s="48">
        <f t="shared" si="13"/>
        <v>5.0000000000000001E-3</v>
      </c>
      <c r="N62" s="49">
        <f t="shared" si="7"/>
        <v>0</v>
      </c>
      <c r="O62" s="49">
        <f t="shared" si="8"/>
        <v>0</v>
      </c>
      <c r="Q62" s="110" t="e">
        <f>N62-#REF!</f>
        <v>#REF!</v>
      </c>
      <c r="R62" s="110" t="e">
        <f>O62-#REF!</f>
        <v>#REF!</v>
      </c>
      <c r="AB62"/>
      <c r="AC62"/>
    </row>
    <row r="63" spans="1:29" ht="20" hidden="1" customHeight="1">
      <c r="A63" s="17" t="s">
        <v>220</v>
      </c>
      <c r="B63" s="17">
        <f>'Approved Quote'!A50</f>
        <v>0</v>
      </c>
      <c r="C63" s="37">
        <v>19</v>
      </c>
      <c r="D63" s="37">
        <v>18</v>
      </c>
      <c r="E63" s="37">
        <v>12</v>
      </c>
      <c r="F63" s="37"/>
      <c r="G63" s="23">
        <f>'Final premium per member'!AC12</f>
        <v>0</v>
      </c>
      <c r="H63" s="23">
        <f>'Final premium per member'!AD12</f>
        <v>0</v>
      </c>
      <c r="I63" s="48">
        <f t="shared" si="9"/>
        <v>0.1</v>
      </c>
      <c r="J63" s="48">
        <f t="shared" si="10"/>
        <v>0.05</v>
      </c>
      <c r="K63" s="48">
        <f t="shared" si="11"/>
        <v>0</v>
      </c>
      <c r="L63" s="48">
        <f t="shared" si="12"/>
        <v>0.05</v>
      </c>
      <c r="M63" s="48">
        <f t="shared" si="13"/>
        <v>5.0000000000000001E-3</v>
      </c>
      <c r="N63" s="49">
        <f t="shared" si="7"/>
        <v>0</v>
      </c>
      <c r="O63" s="49">
        <f t="shared" si="8"/>
        <v>0</v>
      </c>
      <c r="Q63" s="110" t="e">
        <f>N63-#REF!</f>
        <v>#REF!</v>
      </c>
      <c r="R63" s="110" t="e">
        <f>O63-#REF!</f>
        <v>#REF!</v>
      </c>
      <c r="AB63"/>
      <c r="AC63"/>
    </row>
    <row r="64" spans="1:29" ht="20" hidden="1" customHeight="1">
      <c r="A64" s="17" t="s">
        <v>220</v>
      </c>
      <c r="B64" s="17">
        <f>'Approved Quote'!A51</f>
        <v>0</v>
      </c>
      <c r="C64" s="37">
        <v>19</v>
      </c>
      <c r="D64" s="37">
        <v>18</v>
      </c>
      <c r="E64" s="37">
        <v>12</v>
      </c>
      <c r="F64" s="37"/>
      <c r="G64" s="23">
        <f>'Final premium per member'!AC13</f>
        <v>0</v>
      </c>
      <c r="H64" s="23">
        <f>'Final premium per member'!AD13</f>
        <v>0</v>
      </c>
      <c r="I64" s="48">
        <f t="shared" si="9"/>
        <v>0.1</v>
      </c>
      <c r="J64" s="48">
        <f t="shared" si="10"/>
        <v>0.05</v>
      </c>
      <c r="K64" s="48">
        <f t="shared" si="11"/>
        <v>0</v>
      </c>
      <c r="L64" s="48">
        <f t="shared" si="12"/>
        <v>0.05</v>
      </c>
      <c r="M64" s="48">
        <f t="shared" si="13"/>
        <v>5.0000000000000001E-3</v>
      </c>
      <c r="N64" s="49">
        <f t="shared" si="7"/>
        <v>0</v>
      </c>
      <c r="O64" s="49">
        <f t="shared" si="8"/>
        <v>0</v>
      </c>
      <c r="Q64" s="110" t="e">
        <f>N64-#REF!</f>
        <v>#REF!</v>
      </c>
      <c r="R64" s="110" t="e">
        <f>O64-#REF!</f>
        <v>#REF!</v>
      </c>
      <c r="AB64"/>
      <c r="AC64"/>
    </row>
    <row r="65" spans="1:29" ht="20" hidden="1" customHeight="1">
      <c r="A65" s="17" t="s">
        <v>220</v>
      </c>
      <c r="B65" s="17">
        <f>'Approved Quote'!A52</f>
        <v>0</v>
      </c>
      <c r="C65" s="37">
        <v>19</v>
      </c>
      <c r="D65" s="37">
        <v>18</v>
      </c>
      <c r="E65" s="37">
        <v>12</v>
      </c>
      <c r="F65" s="37"/>
      <c r="G65" s="23">
        <f>'Final premium per member'!AC14</f>
        <v>0</v>
      </c>
      <c r="H65" s="23">
        <f>'Final premium per member'!AD14</f>
        <v>0</v>
      </c>
      <c r="I65" s="48">
        <f t="shared" si="9"/>
        <v>0.1</v>
      </c>
      <c r="J65" s="48">
        <f t="shared" si="10"/>
        <v>0.05</v>
      </c>
      <c r="K65" s="48">
        <f t="shared" si="11"/>
        <v>0</v>
      </c>
      <c r="L65" s="48">
        <f t="shared" si="12"/>
        <v>0.05</v>
      </c>
      <c r="M65" s="48">
        <f t="shared" si="13"/>
        <v>5.0000000000000001E-3</v>
      </c>
      <c r="N65" s="49">
        <f t="shared" si="7"/>
        <v>0</v>
      </c>
      <c r="O65" s="49">
        <f t="shared" si="8"/>
        <v>0</v>
      </c>
      <c r="Q65" s="110" t="e">
        <f>N65-#REF!</f>
        <v>#REF!</v>
      </c>
      <c r="R65" s="110" t="e">
        <f>O65-#REF!</f>
        <v>#REF!</v>
      </c>
      <c r="AB65"/>
      <c r="AC65"/>
    </row>
    <row r="66" spans="1:29" ht="20" hidden="1" customHeight="1">
      <c r="A66" s="17" t="s">
        <v>220</v>
      </c>
      <c r="B66" s="17">
        <f>'Approved Quote'!A53</f>
        <v>0</v>
      </c>
      <c r="C66" s="37">
        <v>19</v>
      </c>
      <c r="D66" s="37">
        <v>18</v>
      </c>
      <c r="E66" s="37">
        <v>12</v>
      </c>
      <c r="F66" s="37"/>
      <c r="G66" s="23">
        <f>'Final premium per member'!AC15</f>
        <v>0</v>
      </c>
      <c r="H66" s="23">
        <f>'Final premium per member'!AD15</f>
        <v>0</v>
      </c>
      <c r="I66" s="48">
        <f t="shared" si="9"/>
        <v>0.1</v>
      </c>
      <c r="J66" s="48">
        <f t="shared" si="10"/>
        <v>0.05</v>
      </c>
      <c r="K66" s="48">
        <f t="shared" si="11"/>
        <v>0</v>
      </c>
      <c r="L66" s="48">
        <f t="shared" si="12"/>
        <v>0.05</v>
      </c>
      <c r="M66" s="48">
        <f t="shared" si="13"/>
        <v>5.0000000000000001E-3</v>
      </c>
      <c r="N66" s="49">
        <f t="shared" si="7"/>
        <v>0</v>
      </c>
      <c r="O66" s="49">
        <f t="shared" si="8"/>
        <v>0</v>
      </c>
      <c r="Q66" s="110" t="e">
        <f>N66-#REF!</f>
        <v>#REF!</v>
      </c>
      <c r="R66" s="110" t="e">
        <f>O66-#REF!</f>
        <v>#REF!</v>
      </c>
      <c r="AB66"/>
      <c r="AC66"/>
    </row>
    <row r="67" spans="1:29" ht="20" hidden="1" customHeight="1">
      <c r="A67" s="17" t="s">
        <v>220</v>
      </c>
      <c r="B67" s="17">
        <f>'Approved Quote'!A54</f>
        <v>0</v>
      </c>
      <c r="C67" s="37">
        <v>19</v>
      </c>
      <c r="D67" s="37">
        <v>18</v>
      </c>
      <c r="E67" s="37">
        <v>12</v>
      </c>
      <c r="F67" s="37"/>
      <c r="G67" s="23">
        <f>'Final premium per member'!AC16</f>
        <v>0</v>
      </c>
      <c r="H67" s="23">
        <f>'Final premium per member'!AD16</f>
        <v>0</v>
      </c>
      <c r="I67" s="48">
        <f t="shared" si="9"/>
        <v>0.1</v>
      </c>
      <c r="J67" s="48">
        <f t="shared" si="10"/>
        <v>0.05</v>
      </c>
      <c r="K67" s="48">
        <f t="shared" si="11"/>
        <v>0</v>
      </c>
      <c r="L67" s="48">
        <f t="shared" si="12"/>
        <v>0.05</v>
      </c>
      <c r="M67" s="48">
        <f t="shared" si="13"/>
        <v>5.0000000000000001E-3</v>
      </c>
      <c r="N67" s="49">
        <f t="shared" si="7"/>
        <v>0</v>
      </c>
      <c r="O67" s="49">
        <f t="shared" si="8"/>
        <v>0</v>
      </c>
      <c r="Q67" s="110" t="e">
        <f>N67-#REF!</f>
        <v>#REF!</v>
      </c>
      <c r="R67" s="110" t="e">
        <f>O67-#REF!</f>
        <v>#REF!</v>
      </c>
      <c r="AB67"/>
      <c r="AC67"/>
    </row>
    <row r="68" spans="1:29" ht="20" hidden="1" customHeight="1">
      <c r="A68" s="17" t="s">
        <v>220</v>
      </c>
      <c r="B68" s="17">
        <f>'Approved Quote'!A55</f>
        <v>0</v>
      </c>
      <c r="C68" s="37"/>
      <c r="D68" s="37"/>
      <c r="E68" s="37"/>
      <c r="F68" s="37"/>
      <c r="G68" s="23">
        <f>'Final premium per member'!AC17</f>
        <v>0</v>
      </c>
      <c r="H68" s="23">
        <f>'Final premium per member'!AD17</f>
        <v>0</v>
      </c>
      <c r="I68" s="48">
        <f t="shared" si="9"/>
        <v>0.1</v>
      </c>
      <c r="J68" s="48">
        <f t="shared" si="10"/>
        <v>0.05</v>
      </c>
      <c r="K68" s="48">
        <f t="shared" si="11"/>
        <v>0</v>
      </c>
      <c r="L68" s="48">
        <f t="shared" si="12"/>
        <v>0.05</v>
      </c>
      <c r="M68" s="48">
        <f t="shared" si="13"/>
        <v>5.0000000000000001E-3</v>
      </c>
      <c r="N68" s="49">
        <f t="shared" si="7"/>
        <v>0</v>
      </c>
      <c r="O68" s="49">
        <f t="shared" si="8"/>
        <v>0</v>
      </c>
      <c r="Q68" s="110" t="e">
        <f>N68-#REF!</f>
        <v>#REF!</v>
      </c>
      <c r="R68" s="110" t="e">
        <f>O68-#REF!</f>
        <v>#REF!</v>
      </c>
      <c r="AB68"/>
      <c r="AC68"/>
    </row>
    <row r="69" spans="1:29" ht="20" hidden="1" customHeight="1">
      <c r="A69" s="105" t="s">
        <v>221</v>
      </c>
      <c r="B69" s="105" t="str">
        <f>MID('Approved Quote'!A58,20,5)</f>
        <v>18-45</v>
      </c>
      <c r="C69" s="106">
        <v>19</v>
      </c>
      <c r="D69" s="106">
        <v>18</v>
      </c>
      <c r="E69" s="106">
        <v>12</v>
      </c>
      <c r="F69" s="106"/>
      <c r="G69" s="107"/>
      <c r="H69" s="107">
        <f>'Final premium per member'!X2</f>
        <v>0</v>
      </c>
      <c r="I69" s="108">
        <f>$O$11</f>
        <v>0.1</v>
      </c>
      <c r="J69" s="108">
        <f>$O$12</f>
        <v>0.05</v>
      </c>
      <c r="K69" s="108">
        <f>$O$13</f>
        <v>0</v>
      </c>
      <c r="L69" s="108">
        <f>$O$14</f>
        <v>0.05</v>
      </c>
      <c r="M69" s="108">
        <f>$O$15</f>
        <v>5.0000000000000001E-3</v>
      </c>
      <c r="N69" s="109" t="str">
        <f t="shared" si="7"/>
        <v/>
      </c>
      <c r="O69" s="109">
        <f t="shared" si="8"/>
        <v>0</v>
      </c>
      <c r="P69" s="116" t="s">
        <v>218</v>
      </c>
      <c r="AB69"/>
      <c r="AC69"/>
    </row>
    <row r="70" spans="1:29" ht="20" hidden="1" customHeight="1">
      <c r="A70" s="31" t="s">
        <v>56</v>
      </c>
      <c r="AB70"/>
      <c r="AC70"/>
    </row>
    <row r="71" spans="1:29" ht="20" hidden="1" customHeight="1">
      <c r="A71" s="105" t="s">
        <v>222</v>
      </c>
      <c r="B71" s="105" t="e">
        <f>IF(#REF!="","",#REF!)</f>
        <v>#REF!</v>
      </c>
      <c r="C71" s="106">
        <v>19</v>
      </c>
      <c r="D71" s="106">
        <v>18</v>
      </c>
      <c r="E71" s="106">
        <v>12</v>
      </c>
      <c r="F71" s="106"/>
      <c r="G71" s="107" t="e">
        <f>IF(#REF!="NA","",ROUND(#REF!,0))</f>
        <v>#REF!</v>
      </c>
      <c r="H71" s="107" t="e">
        <f>IF(#REF!="NA","",ROUND(#REF!,0))</f>
        <v>#REF!</v>
      </c>
      <c r="I71" s="108">
        <f>$O$11</f>
        <v>0.1</v>
      </c>
      <c r="J71" s="108">
        <f>$O$12</f>
        <v>0.05</v>
      </c>
      <c r="K71" s="108">
        <f>$O$13</f>
        <v>0</v>
      </c>
      <c r="L71" s="108">
        <f>$O$14</f>
        <v>0.05</v>
      </c>
      <c r="M71" s="108">
        <f>$O$15</f>
        <v>5.0000000000000001E-3</v>
      </c>
      <c r="N71" s="109" t="e">
        <f t="shared" ref="N71:N94" si="14">IF(G71="","",G71*(1-$O$16))</f>
        <v>#REF!</v>
      </c>
      <c r="O71" s="109" t="e">
        <f t="shared" ref="O71:O94" si="15">IF(H71="","",H71*(1-$O$16))</f>
        <v>#REF!</v>
      </c>
      <c r="Q71" s="125" t="e">
        <f>N71-#REF!</f>
        <v>#REF!</v>
      </c>
      <c r="R71" s="125" t="e">
        <f>O71-#REF!</f>
        <v>#REF!</v>
      </c>
      <c r="AB71"/>
      <c r="AC71"/>
    </row>
    <row r="72" spans="1:29" ht="20" hidden="1" customHeight="1">
      <c r="A72" s="105" t="s">
        <v>222</v>
      </c>
      <c r="B72" s="105" t="e">
        <f>IF(#REF!="","",#REF!)</f>
        <v>#REF!</v>
      </c>
      <c r="C72" s="106">
        <v>19</v>
      </c>
      <c r="D72" s="106">
        <v>18</v>
      </c>
      <c r="E72" s="106">
        <v>12</v>
      </c>
      <c r="F72" s="106"/>
      <c r="G72" s="107" t="e">
        <f>IF(#REF!="NA","",ROUND(#REF!,0))</f>
        <v>#REF!</v>
      </c>
      <c r="H72" s="107" t="e">
        <f>IF(#REF!="NA","",ROUND(#REF!,0))</f>
        <v>#REF!</v>
      </c>
      <c r="I72" s="108">
        <f>$O$11</f>
        <v>0.1</v>
      </c>
      <c r="J72" s="108">
        <f>$O$12</f>
        <v>0.05</v>
      </c>
      <c r="K72" s="108">
        <f>$O$13</f>
        <v>0</v>
      </c>
      <c r="L72" s="108">
        <f>$O$14</f>
        <v>0.05</v>
      </c>
      <c r="M72" s="108">
        <f>$O$15</f>
        <v>5.0000000000000001E-3</v>
      </c>
      <c r="N72" s="109" t="e">
        <f t="shared" si="14"/>
        <v>#REF!</v>
      </c>
      <c r="O72" s="109" t="e">
        <f t="shared" si="15"/>
        <v>#REF!</v>
      </c>
      <c r="Q72" s="125" t="e">
        <f>N72-#REF!</f>
        <v>#REF!</v>
      </c>
      <c r="R72" s="125" t="e">
        <f>O72-#REF!</f>
        <v>#REF!</v>
      </c>
      <c r="AB72"/>
      <c r="AC72"/>
    </row>
    <row r="73" spans="1:29" ht="20" hidden="1" customHeight="1">
      <c r="A73" s="105" t="s">
        <v>222</v>
      </c>
      <c r="B73" s="105" t="e">
        <f>IF(#REF!="","",#REF!)</f>
        <v>#REF!</v>
      </c>
      <c r="C73" s="106">
        <v>19</v>
      </c>
      <c r="D73" s="106">
        <v>18</v>
      </c>
      <c r="E73" s="106">
        <v>12</v>
      </c>
      <c r="F73" s="106"/>
      <c r="G73" s="107" t="e">
        <f>IF(#REF!="NA","",ROUND(#REF!,0))</f>
        <v>#REF!</v>
      </c>
      <c r="H73" s="107" t="e">
        <f>IF(#REF!="NA","",ROUND(#REF!,0))</f>
        <v>#REF!</v>
      </c>
      <c r="I73" s="108">
        <f t="shared" ref="I73:I93" si="16">$O$11</f>
        <v>0.1</v>
      </c>
      <c r="J73" s="108">
        <f t="shared" ref="J73:J93" si="17">$O$12</f>
        <v>0.05</v>
      </c>
      <c r="K73" s="108">
        <f t="shared" ref="K73:K93" si="18">$O$13</f>
        <v>0</v>
      </c>
      <c r="L73" s="108">
        <f t="shared" ref="L73:L93" si="19">$O$14</f>
        <v>0.05</v>
      </c>
      <c r="M73" s="108">
        <f t="shared" ref="M73:M93" si="20">$O$15</f>
        <v>5.0000000000000001E-3</v>
      </c>
      <c r="N73" s="109" t="e">
        <f t="shared" si="14"/>
        <v>#REF!</v>
      </c>
      <c r="O73" s="109" t="e">
        <f t="shared" si="15"/>
        <v>#REF!</v>
      </c>
      <c r="Q73" s="125" t="e">
        <f>N73-#REF!</f>
        <v>#REF!</v>
      </c>
      <c r="R73" s="125" t="e">
        <f>O73-#REF!</f>
        <v>#REF!</v>
      </c>
      <c r="AB73"/>
      <c r="AC73"/>
    </row>
    <row r="74" spans="1:29" ht="20" hidden="1" customHeight="1">
      <c r="A74" s="105" t="s">
        <v>222</v>
      </c>
      <c r="B74" s="105" t="e">
        <f>IF(#REF!="","",#REF!)</f>
        <v>#REF!</v>
      </c>
      <c r="C74" s="106">
        <v>19</v>
      </c>
      <c r="D74" s="106">
        <v>18</v>
      </c>
      <c r="E74" s="106">
        <v>12</v>
      </c>
      <c r="F74" s="106"/>
      <c r="G74" s="107" t="e">
        <f>IF(#REF!="NA","",ROUND(#REF!,0))</f>
        <v>#REF!</v>
      </c>
      <c r="H74" s="107" t="e">
        <f>IF(#REF!="NA","",ROUND(#REF!,0))</f>
        <v>#REF!</v>
      </c>
      <c r="I74" s="108">
        <f t="shared" si="16"/>
        <v>0.1</v>
      </c>
      <c r="J74" s="108">
        <f t="shared" si="17"/>
        <v>0.05</v>
      </c>
      <c r="K74" s="108">
        <f t="shared" si="18"/>
        <v>0</v>
      </c>
      <c r="L74" s="108">
        <f t="shared" si="19"/>
        <v>0.05</v>
      </c>
      <c r="M74" s="108">
        <f t="shared" si="20"/>
        <v>5.0000000000000001E-3</v>
      </c>
      <c r="N74" s="109" t="e">
        <f t="shared" si="14"/>
        <v>#REF!</v>
      </c>
      <c r="O74" s="109" t="e">
        <f t="shared" si="15"/>
        <v>#REF!</v>
      </c>
      <c r="Q74" s="125" t="e">
        <f>N74-#REF!</f>
        <v>#REF!</v>
      </c>
      <c r="R74" s="125" t="e">
        <f>O74-#REF!</f>
        <v>#REF!</v>
      </c>
      <c r="AB74"/>
      <c r="AC74"/>
    </row>
    <row r="75" spans="1:29" ht="20" hidden="1" customHeight="1">
      <c r="A75" s="105" t="s">
        <v>222</v>
      </c>
      <c r="B75" s="105" t="e">
        <f>IF(#REF!="","",#REF!)</f>
        <v>#REF!</v>
      </c>
      <c r="C75" s="106">
        <v>19</v>
      </c>
      <c r="D75" s="106">
        <v>18</v>
      </c>
      <c r="E75" s="106">
        <v>12</v>
      </c>
      <c r="F75" s="106"/>
      <c r="G75" s="107" t="e">
        <f>IF(#REF!="NA","",ROUND(#REF!,0))</f>
        <v>#REF!</v>
      </c>
      <c r="H75" s="107" t="e">
        <f>IF(#REF!="NA","",ROUND(#REF!,0))</f>
        <v>#REF!</v>
      </c>
      <c r="I75" s="108">
        <f t="shared" si="16"/>
        <v>0.1</v>
      </c>
      <c r="J75" s="108">
        <f t="shared" si="17"/>
        <v>0.05</v>
      </c>
      <c r="K75" s="108">
        <f t="shared" si="18"/>
        <v>0</v>
      </c>
      <c r="L75" s="108">
        <f t="shared" si="19"/>
        <v>0.05</v>
      </c>
      <c r="M75" s="108">
        <f t="shared" si="20"/>
        <v>5.0000000000000001E-3</v>
      </c>
      <c r="N75" s="109" t="e">
        <f t="shared" si="14"/>
        <v>#REF!</v>
      </c>
      <c r="O75" s="109" t="e">
        <f t="shared" si="15"/>
        <v>#REF!</v>
      </c>
      <c r="Q75" s="125" t="e">
        <f>N75-#REF!</f>
        <v>#REF!</v>
      </c>
      <c r="R75" s="125" t="e">
        <f>O75-#REF!</f>
        <v>#REF!</v>
      </c>
      <c r="AB75"/>
      <c r="AC75"/>
    </row>
    <row r="76" spans="1:29" ht="20" hidden="1" customHeight="1">
      <c r="A76" s="105" t="s">
        <v>222</v>
      </c>
      <c r="B76" s="105" t="e">
        <f>IF(#REF!="","",#REF!)</f>
        <v>#REF!</v>
      </c>
      <c r="C76" s="106">
        <v>19</v>
      </c>
      <c r="D76" s="106">
        <v>18</v>
      </c>
      <c r="E76" s="106">
        <v>12</v>
      </c>
      <c r="F76" s="106"/>
      <c r="G76" s="107" t="e">
        <f>IF(#REF!="NA","",ROUND(#REF!,0))</f>
        <v>#REF!</v>
      </c>
      <c r="H76" s="107" t="e">
        <f>IF(#REF!="NA","",ROUND(#REF!,0))</f>
        <v>#REF!</v>
      </c>
      <c r="I76" s="108">
        <f t="shared" si="16"/>
        <v>0.1</v>
      </c>
      <c r="J76" s="108">
        <f t="shared" si="17"/>
        <v>0.05</v>
      </c>
      <c r="K76" s="108">
        <f t="shared" si="18"/>
        <v>0</v>
      </c>
      <c r="L76" s="108">
        <f t="shared" si="19"/>
        <v>0.05</v>
      </c>
      <c r="M76" s="108">
        <f t="shared" si="20"/>
        <v>5.0000000000000001E-3</v>
      </c>
      <c r="N76" s="109" t="e">
        <f t="shared" si="14"/>
        <v>#REF!</v>
      </c>
      <c r="O76" s="109" t="e">
        <f t="shared" si="15"/>
        <v>#REF!</v>
      </c>
      <c r="Q76" s="125" t="e">
        <f>N76-#REF!</f>
        <v>#REF!</v>
      </c>
      <c r="R76" s="125" t="e">
        <f>O76-#REF!</f>
        <v>#REF!</v>
      </c>
      <c r="AB76"/>
      <c r="AC76"/>
    </row>
    <row r="77" spans="1:29" ht="20" hidden="1" customHeight="1">
      <c r="A77" s="105" t="s">
        <v>222</v>
      </c>
      <c r="B77" s="105" t="e">
        <f>IF(#REF!="","",#REF!)</f>
        <v>#REF!</v>
      </c>
      <c r="C77" s="106">
        <v>19</v>
      </c>
      <c r="D77" s="106">
        <v>18</v>
      </c>
      <c r="E77" s="106">
        <v>12</v>
      </c>
      <c r="F77" s="106"/>
      <c r="G77" s="107" t="e">
        <f>IF(#REF!="NA","",ROUND(#REF!,0))</f>
        <v>#REF!</v>
      </c>
      <c r="H77" s="107" t="e">
        <f>IF(#REF!="NA","",ROUND(#REF!,0))</f>
        <v>#REF!</v>
      </c>
      <c r="I77" s="108">
        <f t="shared" si="16"/>
        <v>0.1</v>
      </c>
      <c r="J77" s="108">
        <f t="shared" si="17"/>
        <v>0.05</v>
      </c>
      <c r="K77" s="108">
        <f t="shared" si="18"/>
        <v>0</v>
      </c>
      <c r="L77" s="108">
        <f t="shared" si="19"/>
        <v>0.05</v>
      </c>
      <c r="M77" s="108">
        <f t="shared" si="20"/>
        <v>5.0000000000000001E-3</v>
      </c>
      <c r="N77" s="109" t="e">
        <f t="shared" si="14"/>
        <v>#REF!</v>
      </c>
      <c r="O77" s="109" t="e">
        <f t="shared" si="15"/>
        <v>#REF!</v>
      </c>
      <c r="Q77" s="125" t="e">
        <f>N77-#REF!</f>
        <v>#REF!</v>
      </c>
      <c r="R77" s="125" t="e">
        <f>O77-#REF!</f>
        <v>#REF!</v>
      </c>
      <c r="AB77"/>
      <c r="AC77"/>
    </row>
    <row r="78" spans="1:29" ht="20" hidden="1" customHeight="1">
      <c r="A78" s="105" t="s">
        <v>222</v>
      </c>
      <c r="B78" s="105" t="e">
        <f>IF(#REF!="","",#REF!)</f>
        <v>#REF!</v>
      </c>
      <c r="C78" s="106">
        <v>19</v>
      </c>
      <c r="D78" s="106">
        <v>18</v>
      </c>
      <c r="E78" s="106">
        <v>12</v>
      </c>
      <c r="F78" s="106"/>
      <c r="G78" s="107" t="e">
        <f>IF(#REF!="NA","",ROUND(#REF!,0))</f>
        <v>#REF!</v>
      </c>
      <c r="H78" s="107" t="e">
        <f>IF(#REF!="NA","",ROUND(#REF!,0))</f>
        <v>#REF!</v>
      </c>
      <c r="I78" s="108">
        <f t="shared" si="16"/>
        <v>0.1</v>
      </c>
      <c r="J78" s="108">
        <f t="shared" si="17"/>
        <v>0.05</v>
      </c>
      <c r="K78" s="108">
        <f t="shared" si="18"/>
        <v>0</v>
      </c>
      <c r="L78" s="108">
        <f t="shared" si="19"/>
        <v>0.05</v>
      </c>
      <c r="M78" s="108">
        <f t="shared" si="20"/>
        <v>5.0000000000000001E-3</v>
      </c>
      <c r="N78" s="109" t="e">
        <f t="shared" si="14"/>
        <v>#REF!</v>
      </c>
      <c r="O78" s="109" t="e">
        <f t="shared" si="15"/>
        <v>#REF!</v>
      </c>
      <c r="Q78" s="125" t="e">
        <f>N78-#REF!</f>
        <v>#REF!</v>
      </c>
      <c r="R78" s="125" t="e">
        <f>O78-#REF!</f>
        <v>#REF!</v>
      </c>
      <c r="AB78"/>
      <c r="AC78"/>
    </row>
    <row r="79" spans="1:29" ht="20" hidden="1" customHeight="1">
      <c r="A79" s="105" t="s">
        <v>222</v>
      </c>
      <c r="B79" s="105" t="e">
        <f>IF(#REF!="","",#REF!)</f>
        <v>#REF!</v>
      </c>
      <c r="C79" s="106">
        <v>19</v>
      </c>
      <c r="D79" s="106">
        <v>18</v>
      </c>
      <c r="E79" s="106">
        <v>12</v>
      </c>
      <c r="F79" s="106"/>
      <c r="G79" s="107" t="e">
        <f>IF(#REF!="NA","",ROUND(#REF!,0))</f>
        <v>#REF!</v>
      </c>
      <c r="H79" s="107" t="e">
        <f>IF(#REF!="NA","",ROUND(#REF!,0))</f>
        <v>#REF!</v>
      </c>
      <c r="I79" s="108">
        <f t="shared" si="16"/>
        <v>0.1</v>
      </c>
      <c r="J79" s="108">
        <f t="shared" si="17"/>
        <v>0.05</v>
      </c>
      <c r="K79" s="108">
        <f t="shared" si="18"/>
        <v>0</v>
      </c>
      <c r="L79" s="108">
        <f t="shared" si="19"/>
        <v>0.05</v>
      </c>
      <c r="M79" s="108">
        <f t="shared" si="20"/>
        <v>5.0000000000000001E-3</v>
      </c>
      <c r="N79" s="109" t="e">
        <f t="shared" si="14"/>
        <v>#REF!</v>
      </c>
      <c r="O79" s="109" t="e">
        <f t="shared" si="15"/>
        <v>#REF!</v>
      </c>
      <c r="Q79" s="125" t="e">
        <f>N79-#REF!</f>
        <v>#REF!</v>
      </c>
      <c r="R79" s="125" t="e">
        <f>O79-#REF!</f>
        <v>#REF!</v>
      </c>
      <c r="AB79"/>
      <c r="AC79"/>
    </row>
    <row r="80" spans="1:29" ht="20" hidden="1" customHeight="1">
      <c r="A80" s="105" t="s">
        <v>222</v>
      </c>
      <c r="B80" s="105" t="e">
        <f>IF(#REF!="","",#REF!)</f>
        <v>#REF!</v>
      </c>
      <c r="C80" s="106">
        <v>19</v>
      </c>
      <c r="D80" s="106">
        <v>18</v>
      </c>
      <c r="E80" s="106">
        <v>12</v>
      </c>
      <c r="F80" s="106"/>
      <c r="G80" s="107" t="e">
        <f>IF(#REF!="NA","",ROUND(#REF!,0))</f>
        <v>#REF!</v>
      </c>
      <c r="H80" s="107" t="e">
        <f>IF(#REF!="NA","",ROUND(#REF!,0))</f>
        <v>#REF!</v>
      </c>
      <c r="I80" s="108">
        <f t="shared" si="16"/>
        <v>0.1</v>
      </c>
      <c r="J80" s="108">
        <f t="shared" si="17"/>
        <v>0.05</v>
      </c>
      <c r="K80" s="108">
        <f t="shared" si="18"/>
        <v>0</v>
      </c>
      <c r="L80" s="108">
        <f t="shared" si="19"/>
        <v>0.05</v>
      </c>
      <c r="M80" s="108">
        <f t="shared" si="20"/>
        <v>5.0000000000000001E-3</v>
      </c>
      <c r="N80" s="109" t="e">
        <f t="shared" si="14"/>
        <v>#REF!</v>
      </c>
      <c r="O80" s="109" t="e">
        <f t="shared" si="15"/>
        <v>#REF!</v>
      </c>
      <c r="Q80" s="125" t="e">
        <f>N80-#REF!</f>
        <v>#REF!</v>
      </c>
      <c r="R80" s="125" t="e">
        <f>O80-#REF!</f>
        <v>#REF!</v>
      </c>
      <c r="AB80"/>
      <c r="AC80"/>
    </row>
    <row r="81" spans="1:29" ht="20" hidden="1" customHeight="1">
      <c r="A81" s="105" t="s">
        <v>222</v>
      </c>
      <c r="B81" s="105" t="e">
        <f>IF(#REF!="","",#REF!)</f>
        <v>#REF!</v>
      </c>
      <c r="C81" s="106"/>
      <c r="D81" s="106"/>
      <c r="E81" s="106"/>
      <c r="F81" s="106"/>
      <c r="G81" s="107" t="e">
        <f>IF(#REF!="NA","",ROUND(#REF!,0))</f>
        <v>#REF!</v>
      </c>
      <c r="H81" s="107" t="e">
        <f>IF(#REF!="NA","",ROUND(#REF!,0))</f>
        <v>#REF!</v>
      </c>
      <c r="I81" s="108">
        <f t="shared" si="16"/>
        <v>0.1</v>
      </c>
      <c r="J81" s="108">
        <f t="shared" si="17"/>
        <v>0.05</v>
      </c>
      <c r="K81" s="108">
        <f t="shared" si="18"/>
        <v>0</v>
      </c>
      <c r="L81" s="108">
        <f t="shared" si="19"/>
        <v>0.05</v>
      </c>
      <c r="M81" s="108">
        <f t="shared" si="20"/>
        <v>5.0000000000000001E-3</v>
      </c>
      <c r="N81" s="109" t="e">
        <f t="shared" si="14"/>
        <v>#REF!</v>
      </c>
      <c r="O81" s="109" t="e">
        <f t="shared" si="15"/>
        <v>#REF!</v>
      </c>
      <c r="Q81" s="125" t="e">
        <f>N81-#REF!</f>
        <v>#REF!</v>
      </c>
      <c r="R81" s="125" t="e">
        <f>O81-#REF!</f>
        <v>#REF!</v>
      </c>
      <c r="AB81"/>
      <c r="AC81"/>
    </row>
    <row r="82" spans="1:29" ht="20" hidden="1" customHeight="1">
      <c r="A82" s="17" t="s">
        <v>223</v>
      </c>
      <c r="B82" s="17" t="e">
        <f>IF(#REF!="","",#REF!)</f>
        <v>#REF!</v>
      </c>
      <c r="C82" s="37">
        <v>19</v>
      </c>
      <c r="D82" s="37">
        <v>18</v>
      </c>
      <c r="E82" s="37">
        <v>12</v>
      </c>
      <c r="F82" s="37"/>
      <c r="G82" s="23" t="e">
        <f>IF(#REF!="NA","",ROUND(#REF!,0))</f>
        <v>#REF!</v>
      </c>
      <c r="H82" s="23" t="e">
        <f>IF(#REF!="NA","",ROUND(#REF!,0))</f>
        <v>#REF!</v>
      </c>
      <c r="I82" s="48">
        <f t="shared" si="16"/>
        <v>0.1</v>
      </c>
      <c r="J82" s="48">
        <f t="shared" si="17"/>
        <v>0.05</v>
      </c>
      <c r="K82" s="48">
        <f t="shared" si="18"/>
        <v>0</v>
      </c>
      <c r="L82" s="48">
        <f t="shared" si="19"/>
        <v>0.05</v>
      </c>
      <c r="M82" s="48">
        <f t="shared" si="20"/>
        <v>5.0000000000000001E-3</v>
      </c>
      <c r="N82" s="49" t="e">
        <f t="shared" si="14"/>
        <v>#REF!</v>
      </c>
      <c r="O82" s="49" t="e">
        <f t="shared" si="15"/>
        <v>#REF!</v>
      </c>
      <c r="Q82" s="125" t="e">
        <f>N82-#REF!</f>
        <v>#REF!</v>
      </c>
      <c r="R82" s="125" t="e">
        <f>O82-#REF!</f>
        <v>#REF!</v>
      </c>
      <c r="AB82"/>
      <c r="AC82"/>
    </row>
    <row r="83" spans="1:29" ht="20" hidden="1" customHeight="1">
      <c r="A83" s="17" t="s">
        <v>223</v>
      </c>
      <c r="B83" s="17" t="e">
        <f>IF(#REF!="","",#REF!)</f>
        <v>#REF!</v>
      </c>
      <c r="C83" s="37">
        <v>19</v>
      </c>
      <c r="D83" s="37">
        <v>18</v>
      </c>
      <c r="E83" s="37">
        <v>12</v>
      </c>
      <c r="F83" s="37"/>
      <c r="G83" s="23" t="e">
        <f>IF(#REF!="NA","",ROUND(#REF!,0))</f>
        <v>#REF!</v>
      </c>
      <c r="H83" s="23" t="e">
        <f>IF(#REF!="NA","",ROUND(#REF!,0))</f>
        <v>#REF!</v>
      </c>
      <c r="I83" s="48">
        <f t="shared" si="16"/>
        <v>0.1</v>
      </c>
      <c r="J83" s="48">
        <f t="shared" si="17"/>
        <v>0.05</v>
      </c>
      <c r="K83" s="48">
        <f t="shared" si="18"/>
        <v>0</v>
      </c>
      <c r="L83" s="48">
        <f t="shared" si="19"/>
        <v>0.05</v>
      </c>
      <c r="M83" s="48">
        <f t="shared" si="20"/>
        <v>5.0000000000000001E-3</v>
      </c>
      <c r="N83" s="49" t="e">
        <f t="shared" si="14"/>
        <v>#REF!</v>
      </c>
      <c r="O83" s="49" t="e">
        <f t="shared" si="15"/>
        <v>#REF!</v>
      </c>
      <c r="Q83" s="125" t="e">
        <f>N83-#REF!</f>
        <v>#REF!</v>
      </c>
      <c r="R83" s="125" t="e">
        <f>O83-#REF!</f>
        <v>#REF!</v>
      </c>
      <c r="AB83"/>
      <c r="AC83"/>
    </row>
    <row r="84" spans="1:29" ht="20" hidden="1" customHeight="1">
      <c r="A84" s="17" t="s">
        <v>223</v>
      </c>
      <c r="B84" s="17" t="e">
        <f>IF(#REF!="","",#REF!)</f>
        <v>#REF!</v>
      </c>
      <c r="C84" s="37">
        <v>19</v>
      </c>
      <c r="D84" s="37">
        <v>18</v>
      </c>
      <c r="E84" s="37">
        <v>12</v>
      </c>
      <c r="F84" s="37"/>
      <c r="G84" s="23" t="e">
        <f>IF(#REF!="NA","",ROUND(#REF!,0))</f>
        <v>#REF!</v>
      </c>
      <c r="H84" s="23" t="e">
        <f>IF(#REF!="NA","",ROUND(#REF!,0))</f>
        <v>#REF!</v>
      </c>
      <c r="I84" s="48">
        <f t="shared" si="16"/>
        <v>0.1</v>
      </c>
      <c r="J84" s="48">
        <f t="shared" si="17"/>
        <v>0.05</v>
      </c>
      <c r="K84" s="48">
        <f t="shared" si="18"/>
        <v>0</v>
      </c>
      <c r="L84" s="48">
        <f t="shared" si="19"/>
        <v>0.05</v>
      </c>
      <c r="M84" s="48">
        <f t="shared" si="20"/>
        <v>5.0000000000000001E-3</v>
      </c>
      <c r="N84" s="49" t="e">
        <f t="shared" si="14"/>
        <v>#REF!</v>
      </c>
      <c r="O84" s="49" t="e">
        <f t="shared" si="15"/>
        <v>#REF!</v>
      </c>
      <c r="Q84" s="125" t="e">
        <f>N84-#REF!</f>
        <v>#REF!</v>
      </c>
      <c r="R84" s="125" t="e">
        <f>O84-#REF!</f>
        <v>#REF!</v>
      </c>
      <c r="AB84"/>
      <c r="AC84"/>
    </row>
    <row r="85" spans="1:29" ht="20" hidden="1" customHeight="1">
      <c r="A85" s="17" t="s">
        <v>223</v>
      </c>
      <c r="B85" s="17" t="e">
        <f>IF(#REF!="","",#REF!)</f>
        <v>#REF!</v>
      </c>
      <c r="C85" s="37">
        <v>19</v>
      </c>
      <c r="D85" s="37">
        <v>18</v>
      </c>
      <c r="E85" s="37">
        <v>12</v>
      </c>
      <c r="F85" s="37"/>
      <c r="G85" s="23" t="e">
        <f>IF(#REF!="NA","",ROUND(#REF!,0))</f>
        <v>#REF!</v>
      </c>
      <c r="H85" s="23" t="e">
        <f>IF(#REF!="NA","",ROUND(#REF!,0))</f>
        <v>#REF!</v>
      </c>
      <c r="I85" s="48">
        <f t="shared" si="16"/>
        <v>0.1</v>
      </c>
      <c r="J85" s="48">
        <f t="shared" si="17"/>
        <v>0.05</v>
      </c>
      <c r="K85" s="48">
        <f t="shared" si="18"/>
        <v>0</v>
      </c>
      <c r="L85" s="48">
        <f t="shared" si="19"/>
        <v>0.05</v>
      </c>
      <c r="M85" s="48">
        <f t="shared" si="20"/>
        <v>5.0000000000000001E-3</v>
      </c>
      <c r="N85" s="49" t="e">
        <f t="shared" si="14"/>
        <v>#REF!</v>
      </c>
      <c r="O85" s="49" t="e">
        <f t="shared" si="15"/>
        <v>#REF!</v>
      </c>
      <c r="Q85" s="125" t="e">
        <f>N85-#REF!</f>
        <v>#REF!</v>
      </c>
      <c r="R85" s="125" t="e">
        <f>O85-#REF!</f>
        <v>#REF!</v>
      </c>
      <c r="AB85"/>
      <c r="AC85"/>
    </row>
    <row r="86" spans="1:29" ht="20" hidden="1" customHeight="1">
      <c r="A86" s="17" t="s">
        <v>223</v>
      </c>
      <c r="B86" s="17" t="e">
        <f>IF(#REF!="","",#REF!)</f>
        <v>#REF!</v>
      </c>
      <c r="C86" s="37">
        <v>19</v>
      </c>
      <c r="D86" s="37">
        <v>18</v>
      </c>
      <c r="E86" s="37">
        <v>12</v>
      </c>
      <c r="F86" s="37"/>
      <c r="G86" s="23" t="e">
        <f>IF(#REF!="NA","",ROUND(#REF!,0))</f>
        <v>#REF!</v>
      </c>
      <c r="H86" s="23" t="e">
        <f>IF(#REF!="NA","",ROUND(#REF!,0))</f>
        <v>#REF!</v>
      </c>
      <c r="I86" s="48">
        <f t="shared" si="16"/>
        <v>0.1</v>
      </c>
      <c r="J86" s="48">
        <f t="shared" si="17"/>
        <v>0.05</v>
      </c>
      <c r="K86" s="48">
        <f t="shared" si="18"/>
        <v>0</v>
      </c>
      <c r="L86" s="48">
        <f t="shared" si="19"/>
        <v>0.05</v>
      </c>
      <c r="M86" s="48">
        <f t="shared" si="20"/>
        <v>5.0000000000000001E-3</v>
      </c>
      <c r="N86" s="49" t="e">
        <f t="shared" si="14"/>
        <v>#REF!</v>
      </c>
      <c r="O86" s="49" t="e">
        <f t="shared" si="15"/>
        <v>#REF!</v>
      </c>
      <c r="Q86" s="125" t="e">
        <f>N86-#REF!</f>
        <v>#REF!</v>
      </c>
      <c r="R86" s="125" t="e">
        <f>O86-#REF!</f>
        <v>#REF!</v>
      </c>
      <c r="AB86"/>
      <c r="AC86"/>
    </row>
    <row r="87" spans="1:29" ht="20" hidden="1" customHeight="1">
      <c r="A87" s="17" t="s">
        <v>223</v>
      </c>
      <c r="B87" s="17" t="e">
        <f>IF(#REF!="","",#REF!)</f>
        <v>#REF!</v>
      </c>
      <c r="C87" s="37">
        <v>19</v>
      </c>
      <c r="D87" s="37">
        <v>18</v>
      </c>
      <c r="E87" s="37">
        <v>12</v>
      </c>
      <c r="F87" s="37"/>
      <c r="G87" s="23" t="e">
        <f>IF(#REF!="NA","",ROUND(#REF!,0))</f>
        <v>#REF!</v>
      </c>
      <c r="H87" s="23" t="e">
        <f>IF(#REF!="NA","",ROUND(#REF!,0))</f>
        <v>#REF!</v>
      </c>
      <c r="I87" s="48">
        <f t="shared" si="16"/>
        <v>0.1</v>
      </c>
      <c r="J87" s="48">
        <f t="shared" si="17"/>
        <v>0.05</v>
      </c>
      <c r="K87" s="48">
        <f t="shared" si="18"/>
        <v>0</v>
      </c>
      <c r="L87" s="48">
        <f t="shared" si="19"/>
        <v>0.05</v>
      </c>
      <c r="M87" s="48">
        <f t="shared" si="20"/>
        <v>5.0000000000000001E-3</v>
      </c>
      <c r="N87" s="49" t="e">
        <f t="shared" si="14"/>
        <v>#REF!</v>
      </c>
      <c r="O87" s="49" t="e">
        <f t="shared" si="15"/>
        <v>#REF!</v>
      </c>
      <c r="Q87" s="125" t="e">
        <f>N87-#REF!</f>
        <v>#REF!</v>
      </c>
      <c r="R87" s="125" t="e">
        <f>O87-#REF!</f>
        <v>#REF!</v>
      </c>
      <c r="AB87"/>
      <c r="AC87"/>
    </row>
    <row r="88" spans="1:29" ht="20" hidden="1" customHeight="1">
      <c r="A88" s="17" t="s">
        <v>223</v>
      </c>
      <c r="B88" s="17" t="e">
        <f>IF(#REF!="","",#REF!)</f>
        <v>#REF!</v>
      </c>
      <c r="C88" s="37">
        <v>19</v>
      </c>
      <c r="D88" s="37">
        <v>18</v>
      </c>
      <c r="E88" s="37">
        <v>12</v>
      </c>
      <c r="F88" s="37"/>
      <c r="G88" s="23" t="e">
        <f>IF(#REF!="NA","",ROUND(#REF!,0))</f>
        <v>#REF!</v>
      </c>
      <c r="H88" s="23" t="e">
        <f>IF(#REF!="NA","",ROUND(#REF!,0))</f>
        <v>#REF!</v>
      </c>
      <c r="I88" s="48">
        <f t="shared" si="16"/>
        <v>0.1</v>
      </c>
      <c r="J88" s="48">
        <f t="shared" si="17"/>
        <v>0.05</v>
      </c>
      <c r="K88" s="48">
        <f t="shared" si="18"/>
        <v>0</v>
      </c>
      <c r="L88" s="48">
        <f t="shared" si="19"/>
        <v>0.05</v>
      </c>
      <c r="M88" s="48">
        <f t="shared" si="20"/>
        <v>5.0000000000000001E-3</v>
      </c>
      <c r="N88" s="49" t="e">
        <f t="shared" si="14"/>
        <v>#REF!</v>
      </c>
      <c r="O88" s="49" t="e">
        <f t="shared" si="15"/>
        <v>#REF!</v>
      </c>
      <c r="Q88" s="125" t="e">
        <f>N88-#REF!</f>
        <v>#REF!</v>
      </c>
      <c r="R88" s="125" t="e">
        <f>O88-#REF!</f>
        <v>#REF!</v>
      </c>
      <c r="AB88"/>
      <c r="AC88"/>
    </row>
    <row r="89" spans="1:29" ht="20" hidden="1" customHeight="1">
      <c r="A89" s="17" t="s">
        <v>223</v>
      </c>
      <c r="B89" s="17" t="e">
        <f>IF(#REF!="","",#REF!)</f>
        <v>#REF!</v>
      </c>
      <c r="C89" s="37">
        <v>19</v>
      </c>
      <c r="D89" s="37">
        <v>18</v>
      </c>
      <c r="E89" s="37">
        <v>12</v>
      </c>
      <c r="F89" s="37"/>
      <c r="G89" s="23" t="e">
        <f>IF(#REF!="NA","",ROUND(#REF!,0))</f>
        <v>#REF!</v>
      </c>
      <c r="H89" s="23" t="e">
        <f>IF(#REF!="NA","",ROUND(#REF!,0))</f>
        <v>#REF!</v>
      </c>
      <c r="I89" s="48">
        <f t="shared" si="16"/>
        <v>0.1</v>
      </c>
      <c r="J89" s="48">
        <f t="shared" si="17"/>
        <v>0.05</v>
      </c>
      <c r="K89" s="48">
        <f t="shared" si="18"/>
        <v>0</v>
      </c>
      <c r="L89" s="48">
        <f t="shared" si="19"/>
        <v>0.05</v>
      </c>
      <c r="M89" s="48">
        <f t="shared" si="20"/>
        <v>5.0000000000000001E-3</v>
      </c>
      <c r="N89" s="49" t="e">
        <f t="shared" si="14"/>
        <v>#REF!</v>
      </c>
      <c r="O89" s="49" t="e">
        <f t="shared" si="15"/>
        <v>#REF!</v>
      </c>
      <c r="Q89" s="125" t="e">
        <f>N89-#REF!</f>
        <v>#REF!</v>
      </c>
      <c r="R89" s="125" t="e">
        <f>O89-#REF!</f>
        <v>#REF!</v>
      </c>
      <c r="AB89"/>
      <c r="AC89"/>
    </row>
    <row r="90" spans="1:29" ht="20" hidden="1" customHeight="1">
      <c r="A90" s="17" t="s">
        <v>223</v>
      </c>
      <c r="B90" s="17" t="e">
        <f>IF(#REF!="","",#REF!)</f>
        <v>#REF!</v>
      </c>
      <c r="C90" s="37">
        <v>19</v>
      </c>
      <c r="D90" s="37">
        <v>18</v>
      </c>
      <c r="E90" s="37">
        <v>12</v>
      </c>
      <c r="F90" s="37"/>
      <c r="G90" s="23" t="e">
        <f>IF(#REF!="NA","",ROUND(#REF!,0))</f>
        <v>#REF!</v>
      </c>
      <c r="H90" s="23" t="e">
        <f>IF(#REF!="NA","",ROUND(#REF!,0))</f>
        <v>#REF!</v>
      </c>
      <c r="I90" s="48">
        <f t="shared" si="16"/>
        <v>0.1</v>
      </c>
      <c r="J90" s="48">
        <f t="shared" si="17"/>
        <v>0.05</v>
      </c>
      <c r="K90" s="48">
        <f t="shared" si="18"/>
        <v>0</v>
      </c>
      <c r="L90" s="48">
        <f t="shared" si="19"/>
        <v>0.05</v>
      </c>
      <c r="M90" s="48">
        <f t="shared" si="20"/>
        <v>5.0000000000000001E-3</v>
      </c>
      <c r="N90" s="49" t="e">
        <f t="shared" si="14"/>
        <v>#REF!</v>
      </c>
      <c r="O90" s="49" t="e">
        <f t="shared" si="15"/>
        <v>#REF!</v>
      </c>
      <c r="Q90" s="125" t="e">
        <f>N90-#REF!</f>
        <v>#REF!</v>
      </c>
      <c r="R90" s="125" t="e">
        <f>O90-#REF!</f>
        <v>#REF!</v>
      </c>
      <c r="AB90"/>
      <c r="AC90"/>
    </row>
    <row r="91" spans="1:29" ht="20" hidden="1" customHeight="1">
      <c r="A91" s="17" t="s">
        <v>223</v>
      </c>
      <c r="B91" s="17" t="e">
        <f>IF(#REF!="","",#REF!)</f>
        <v>#REF!</v>
      </c>
      <c r="C91" s="37">
        <v>19</v>
      </c>
      <c r="D91" s="37">
        <v>18</v>
      </c>
      <c r="E91" s="37">
        <v>12</v>
      </c>
      <c r="F91" s="37"/>
      <c r="G91" s="23" t="e">
        <f>IF(#REF!="NA","",ROUND(#REF!,0))</f>
        <v>#REF!</v>
      </c>
      <c r="H91" s="23" t="e">
        <f>IF(#REF!="NA","",ROUND(#REF!,0))</f>
        <v>#REF!</v>
      </c>
      <c r="I91" s="48">
        <f t="shared" si="16"/>
        <v>0.1</v>
      </c>
      <c r="J91" s="48">
        <f t="shared" si="17"/>
        <v>0.05</v>
      </c>
      <c r="K91" s="48">
        <f t="shared" si="18"/>
        <v>0</v>
      </c>
      <c r="L91" s="48">
        <f t="shared" si="19"/>
        <v>0.05</v>
      </c>
      <c r="M91" s="48">
        <f t="shared" si="20"/>
        <v>5.0000000000000001E-3</v>
      </c>
      <c r="N91" s="49" t="e">
        <f t="shared" si="14"/>
        <v>#REF!</v>
      </c>
      <c r="O91" s="49" t="e">
        <f t="shared" si="15"/>
        <v>#REF!</v>
      </c>
      <c r="Q91" s="125" t="e">
        <f>N91-#REF!</f>
        <v>#REF!</v>
      </c>
      <c r="R91" s="125" t="e">
        <f>O91-#REF!</f>
        <v>#REF!</v>
      </c>
      <c r="AB91"/>
      <c r="AC91"/>
    </row>
    <row r="92" spans="1:29" ht="20" hidden="1" customHeight="1">
      <c r="A92" s="17" t="s">
        <v>223</v>
      </c>
      <c r="B92" s="17" t="e">
        <f>IF(#REF!="","",#REF!)</f>
        <v>#REF!</v>
      </c>
      <c r="C92" s="37">
        <v>19</v>
      </c>
      <c r="D92" s="37">
        <v>18</v>
      </c>
      <c r="E92" s="37">
        <v>12</v>
      </c>
      <c r="F92" s="37"/>
      <c r="G92" s="23" t="e">
        <f>IF(#REF!="NA","",ROUND(#REF!,0))</f>
        <v>#REF!</v>
      </c>
      <c r="H92" s="23" t="e">
        <f>IF(#REF!="NA","",ROUND(#REF!,0))</f>
        <v>#REF!</v>
      </c>
      <c r="I92" s="48">
        <f t="shared" si="16"/>
        <v>0.1</v>
      </c>
      <c r="J92" s="48">
        <f t="shared" si="17"/>
        <v>0.05</v>
      </c>
      <c r="K92" s="48">
        <f t="shared" si="18"/>
        <v>0</v>
      </c>
      <c r="L92" s="48">
        <f t="shared" si="19"/>
        <v>0.05</v>
      </c>
      <c r="M92" s="48">
        <f t="shared" si="20"/>
        <v>5.0000000000000001E-3</v>
      </c>
      <c r="N92" s="49" t="e">
        <f t="shared" si="14"/>
        <v>#REF!</v>
      </c>
      <c r="O92" s="49" t="e">
        <f t="shared" si="15"/>
        <v>#REF!</v>
      </c>
      <c r="Q92" s="125" t="e">
        <f>N92-#REF!</f>
        <v>#REF!</v>
      </c>
      <c r="R92" s="125" t="e">
        <f>O92-#REF!</f>
        <v>#REF!</v>
      </c>
      <c r="AB92"/>
      <c r="AC92"/>
    </row>
    <row r="93" spans="1:29" ht="20" hidden="1" customHeight="1">
      <c r="A93" s="17" t="s">
        <v>223</v>
      </c>
      <c r="B93" s="17" t="e">
        <f>IF(#REF!="","",#REF!)</f>
        <v>#REF!</v>
      </c>
      <c r="C93" s="37"/>
      <c r="D93" s="37"/>
      <c r="E93" s="37"/>
      <c r="F93" s="37"/>
      <c r="G93" s="23" t="e">
        <f>IF(#REF!="NA","",ROUND(#REF!,0))</f>
        <v>#REF!</v>
      </c>
      <c r="H93" s="23" t="e">
        <f>IF(#REF!="NA","",ROUND(#REF!,0))</f>
        <v>#REF!</v>
      </c>
      <c r="I93" s="48">
        <f t="shared" si="16"/>
        <v>0.1</v>
      </c>
      <c r="J93" s="48">
        <f t="shared" si="17"/>
        <v>0.05</v>
      </c>
      <c r="K93" s="48">
        <f t="shared" si="18"/>
        <v>0</v>
      </c>
      <c r="L93" s="48">
        <f t="shared" si="19"/>
        <v>0.05</v>
      </c>
      <c r="M93" s="48">
        <f t="shared" si="20"/>
        <v>5.0000000000000001E-3</v>
      </c>
      <c r="N93" s="49" t="e">
        <f t="shared" si="14"/>
        <v>#REF!</v>
      </c>
      <c r="O93" s="49" t="e">
        <f t="shared" si="15"/>
        <v>#REF!</v>
      </c>
      <c r="Q93" s="125" t="e">
        <f>N93-#REF!</f>
        <v>#REF!</v>
      </c>
      <c r="R93" s="125" t="e">
        <f>O93-#REF!</f>
        <v>#REF!</v>
      </c>
      <c r="AB93"/>
      <c r="AC93"/>
    </row>
    <row r="94" spans="1:29" ht="20" hidden="1" customHeight="1">
      <c r="A94" s="105" t="s">
        <v>224</v>
      </c>
      <c r="B94" s="105" t="e">
        <f>IF(#REF!="","",#REF!)</f>
        <v>#REF!</v>
      </c>
      <c r="C94" s="106">
        <v>19</v>
      </c>
      <c r="D94" s="106">
        <v>18</v>
      </c>
      <c r="E94" s="106">
        <v>12</v>
      </c>
      <c r="F94" s="106"/>
      <c r="G94" s="107"/>
      <c r="H94" s="107" t="e">
        <f>ROUND(#REF!,0)</f>
        <v>#REF!</v>
      </c>
      <c r="I94" s="108">
        <f>$O$11</f>
        <v>0.1</v>
      </c>
      <c r="J94" s="108">
        <f>$O$12</f>
        <v>0.05</v>
      </c>
      <c r="K94" s="108">
        <f>$O$13</f>
        <v>0</v>
      </c>
      <c r="L94" s="108">
        <f>$O$14</f>
        <v>0.05</v>
      </c>
      <c r="M94" s="108">
        <f>$O$15</f>
        <v>5.0000000000000001E-3</v>
      </c>
      <c r="N94" s="109" t="str">
        <f t="shared" si="14"/>
        <v/>
      </c>
      <c r="O94" s="109" t="e">
        <f t="shared" si="15"/>
        <v>#REF!</v>
      </c>
      <c r="P94" s="116" t="s">
        <v>218</v>
      </c>
      <c r="Q94" s="125" t="e">
        <f>N94-#REF!</f>
        <v>#VALUE!</v>
      </c>
      <c r="R94" s="125" t="e">
        <f>O94-#REF!</f>
        <v>#REF!</v>
      </c>
      <c r="AB94"/>
      <c r="AC94"/>
    </row>
    <row r="95" spans="1:29" ht="20" hidden="1" customHeight="1">
      <c r="A95" s="31" t="s">
        <v>58</v>
      </c>
      <c r="AB95"/>
      <c r="AC95"/>
    </row>
    <row r="96" spans="1:29" ht="20" hidden="1" customHeight="1">
      <c r="A96" s="105" t="s">
        <v>225</v>
      </c>
      <c r="B96" s="105" t="e">
        <f>IF(#REF!="","",#REF!)</f>
        <v>#REF!</v>
      </c>
      <c r="C96" s="106">
        <v>19</v>
      </c>
      <c r="D96" s="106">
        <v>18</v>
      </c>
      <c r="E96" s="106">
        <v>12</v>
      </c>
      <c r="F96" s="106"/>
      <c r="G96" s="107" t="e">
        <f>IF(#REF!="NA","",ROUND(#REF!,0))</f>
        <v>#REF!</v>
      </c>
      <c r="H96" s="107" t="e">
        <f>IF(#REF!="NA","",ROUND(#REF!,0))</f>
        <v>#REF!</v>
      </c>
      <c r="I96" s="108">
        <f>$O$11</f>
        <v>0.1</v>
      </c>
      <c r="J96" s="108">
        <f>$O$12</f>
        <v>0.05</v>
      </c>
      <c r="K96" s="108">
        <f>$O$13</f>
        <v>0</v>
      </c>
      <c r="L96" s="108">
        <f>$O$14</f>
        <v>0.05</v>
      </c>
      <c r="M96" s="108">
        <f>$O$15</f>
        <v>5.0000000000000001E-3</v>
      </c>
      <c r="N96" s="109" t="e">
        <f t="shared" ref="N96:N119" si="21">IF(G96="","",G96*(1-$O$16))</f>
        <v>#REF!</v>
      </c>
      <c r="O96" s="109" t="e">
        <f t="shared" ref="O96:O119" si="22">IF(H96="","",H96*(1-$O$16))</f>
        <v>#REF!</v>
      </c>
      <c r="Q96" s="125" t="e">
        <f>N96-#REF!</f>
        <v>#REF!</v>
      </c>
      <c r="R96" s="125" t="e">
        <f>O96-#REF!</f>
        <v>#REF!</v>
      </c>
      <c r="AB96"/>
      <c r="AC96"/>
    </row>
    <row r="97" spans="1:29" ht="20" hidden="1" customHeight="1">
      <c r="A97" s="105" t="s">
        <v>225</v>
      </c>
      <c r="B97" s="105" t="e">
        <f>IF(#REF!="","",#REF!)</f>
        <v>#REF!</v>
      </c>
      <c r="C97" s="106">
        <v>19</v>
      </c>
      <c r="D97" s="106">
        <v>18</v>
      </c>
      <c r="E97" s="106">
        <v>12</v>
      </c>
      <c r="F97" s="106"/>
      <c r="G97" s="107" t="e">
        <f>IF(#REF!="NA","",ROUND(#REF!,0))</f>
        <v>#REF!</v>
      </c>
      <c r="H97" s="107" t="e">
        <f>IF(#REF!="NA","",ROUND(#REF!,0))</f>
        <v>#REF!</v>
      </c>
      <c r="I97" s="108">
        <f>$O$11</f>
        <v>0.1</v>
      </c>
      <c r="J97" s="108">
        <f>$O$12</f>
        <v>0.05</v>
      </c>
      <c r="K97" s="108">
        <f>$O$13</f>
        <v>0</v>
      </c>
      <c r="L97" s="108">
        <f>$O$14</f>
        <v>0.05</v>
      </c>
      <c r="M97" s="108">
        <f>$O$15</f>
        <v>5.0000000000000001E-3</v>
      </c>
      <c r="N97" s="109" t="e">
        <f t="shared" si="21"/>
        <v>#REF!</v>
      </c>
      <c r="O97" s="109" t="e">
        <f t="shared" si="22"/>
        <v>#REF!</v>
      </c>
      <c r="Q97" s="125" t="e">
        <f>N97-#REF!</f>
        <v>#REF!</v>
      </c>
      <c r="R97" s="125" t="e">
        <f>O97-#REF!</f>
        <v>#REF!</v>
      </c>
      <c r="AB97"/>
      <c r="AC97"/>
    </row>
    <row r="98" spans="1:29" ht="20" hidden="1" customHeight="1">
      <c r="A98" s="105" t="s">
        <v>225</v>
      </c>
      <c r="B98" s="105" t="e">
        <f>IF(#REF!="","",#REF!)</f>
        <v>#REF!</v>
      </c>
      <c r="C98" s="106">
        <v>19</v>
      </c>
      <c r="D98" s="106">
        <v>18</v>
      </c>
      <c r="E98" s="106">
        <v>12</v>
      </c>
      <c r="F98" s="106"/>
      <c r="G98" s="107" t="e">
        <f>IF(#REF!="NA","",ROUND(#REF!,0))</f>
        <v>#REF!</v>
      </c>
      <c r="H98" s="107" t="e">
        <f>IF(#REF!="NA","",ROUND(#REF!,0))</f>
        <v>#REF!</v>
      </c>
      <c r="I98" s="108">
        <f t="shared" ref="I98:I118" si="23">$O$11</f>
        <v>0.1</v>
      </c>
      <c r="J98" s="108">
        <f t="shared" ref="J98:J118" si="24">$O$12</f>
        <v>0.05</v>
      </c>
      <c r="K98" s="108">
        <f t="shared" ref="K98:K118" si="25">$O$13</f>
        <v>0</v>
      </c>
      <c r="L98" s="108">
        <f t="shared" ref="L98:L118" si="26">$O$14</f>
        <v>0.05</v>
      </c>
      <c r="M98" s="108">
        <f t="shared" ref="M98:M118" si="27">$O$15</f>
        <v>5.0000000000000001E-3</v>
      </c>
      <c r="N98" s="109" t="e">
        <f t="shared" si="21"/>
        <v>#REF!</v>
      </c>
      <c r="O98" s="109" t="e">
        <f t="shared" si="22"/>
        <v>#REF!</v>
      </c>
      <c r="Q98" s="125" t="e">
        <f>N98-#REF!</f>
        <v>#REF!</v>
      </c>
      <c r="R98" s="125" t="e">
        <f>O98-#REF!</f>
        <v>#REF!</v>
      </c>
      <c r="AB98"/>
      <c r="AC98"/>
    </row>
    <row r="99" spans="1:29" ht="20" hidden="1" customHeight="1">
      <c r="A99" s="105" t="s">
        <v>225</v>
      </c>
      <c r="B99" s="105" t="e">
        <f>IF(#REF!="","",#REF!)</f>
        <v>#REF!</v>
      </c>
      <c r="C99" s="106">
        <v>19</v>
      </c>
      <c r="D99" s="106">
        <v>18</v>
      </c>
      <c r="E99" s="106">
        <v>12</v>
      </c>
      <c r="F99" s="106"/>
      <c r="G99" s="107" t="e">
        <f>IF(#REF!="NA","",ROUND(#REF!,0))</f>
        <v>#REF!</v>
      </c>
      <c r="H99" s="107" t="e">
        <f>IF(#REF!="NA","",ROUND(#REF!,0))</f>
        <v>#REF!</v>
      </c>
      <c r="I99" s="108">
        <f t="shared" si="23"/>
        <v>0.1</v>
      </c>
      <c r="J99" s="108">
        <f t="shared" si="24"/>
        <v>0.05</v>
      </c>
      <c r="K99" s="108">
        <f t="shared" si="25"/>
        <v>0</v>
      </c>
      <c r="L99" s="108">
        <f t="shared" si="26"/>
        <v>0.05</v>
      </c>
      <c r="M99" s="108">
        <f t="shared" si="27"/>
        <v>5.0000000000000001E-3</v>
      </c>
      <c r="N99" s="109" t="e">
        <f t="shared" si="21"/>
        <v>#REF!</v>
      </c>
      <c r="O99" s="109" t="e">
        <f t="shared" si="22"/>
        <v>#REF!</v>
      </c>
      <c r="Q99" s="125" t="e">
        <f>N99-#REF!</f>
        <v>#REF!</v>
      </c>
      <c r="R99" s="125" t="e">
        <f>O99-#REF!</f>
        <v>#REF!</v>
      </c>
      <c r="AB99"/>
      <c r="AC99"/>
    </row>
    <row r="100" spans="1:29" ht="20" hidden="1" customHeight="1">
      <c r="A100" s="105" t="s">
        <v>225</v>
      </c>
      <c r="B100" s="105" t="e">
        <f>IF(#REF!="","",#REF!)</f>
        <v>#REF!</v>
      </c>
      <c r="C100" s="106">
        <v>19</v>
      </c>
      <c r="D100" s="106">
        <v>18</v>
      </c>
      <c r="E100" s="106">
        <v>12</v>
      </c>
      <c r="F100" s="106"/>
      <c r="G100" s="107" t="e">
        <f>IF(#REF!="NA","",ROUND(#REF!,0))</f>
        <v>#REF!</v>
      </c>
      <c r="H100" s="107" t="e">
        <f>IF(#REF!="NA","",ROUND(#REF!,0))</f>
        <v>#REF!</v>
      </c>
      <c r="I100" s="108">
        <f t="shared" si="23"/>
        <v>0.1</v>
      </c>
      <c r="J100" s="108">
        <f t="shared" si="24"/>
        <v>0.05</v>
      </c>
      <c r="K100" s="108">
        <f t="shared" si="25"/>
        <v>0</v>
      </c>
      <c r="L100" s="108">
        <f t="shared" si="26"/>
        <v>0.05</v>
      </c>
      <c r="M100" s="108">
        <f t="shared" si="27"/>
        <v>5.0000000000000001E-3</v>
      </c>
      <c r="N100" s="109" t="e">
        <f t="shared" si="21"/>
        <v>#REF!</v>
      </c>
      <c r="O100" s="109" t="e">
        <f t="shared" si="22"/>
        <v>#REF!</v>
      </c>
      <c r="Q100" s="125" t="e">
        <f>N100-#REF!</f>
        <v>#REF!</v>
      </c>
      <c r="R100" s="125" t="e">
        <f>O100-#REF!</f>
        <v>#REF!</v>
      </c>
      <c r="AB100"/>
      <c r="AC100"/>
    </row>
    <row r="101" spans="1:29" ht="20" hidden="1" customHeight="1">
      <c r="A101" s="105" t="s">
        <v>225</v>
      </c>
      <c r="B101" s="105" t="e">
        <f>IF(#REF!="","",#REF!)</f>
        <v>#REF!</v>
      </c>
      <c r="C101" s="106">
        <v>19</v>
      </c>
      <c r="D101" s="106">
        <v>18</v>
      </c>
      <c r="E101" s="106">
        <v>12</v>
      </c>
      <c r="F101" s="106"/>
      <c r="G101" s="107" t="e">
        <f>IF(#REF!="NA","",ROUND(#REF!,0))</f>
        <v>#REF!</v>
      </c>
      <c r="H101" s="107" t="e">
        <f>IF(#REF!="NA","",ROUND(#REF!,0))</f>
        <v>#REF!</v>
      </c>
      <c r="I101" s="108">
        <f t="shared" si="23"/>
        <v>0.1</v>
      </c>
      <c r="J101" s="108">
        <f t="shared" si="24"/>
        <v>0.05</v>
      </c>
      <c r="K101" s="108">
        <f t="shared" si="25"/>
        <v>0</v>
      </c>
      <c r="L101" s="108">
        <f t="shared" si="26"/>
        <v>0.05</v>
      </c>
      <c r="M101" s="108">
        <f t="shared" si="27"/>
        <v>5.0000000000000001E-3</v>
      </c>
      <c r="N101" s="109" t="e">
        <f t="shared" si="21"/>
        <v>#REF!</v>
      </c>
      <c r="O101" s="109" t="e">
        <f t="shared" si="22"/>
        <v>#REF!</v>
      </c>
      <c r="Q101" s="125" t="e">
        <f>N101-#REF!</f>
        <v>#REF!</v>
      </c>
      <c r="R101" s="125" t="e">
        <f>O101-#REF!</f>
        <v>#REF!</v>
      </c>
      <c r="AB101"/>
      <c r="AC101"/>
    </row>
    <row r="102" spans="1:29" ht="20" hidden="1" customHeight="1">
      <c r="A102" s="105" t="s">
        <v>225</v>
      </c>
      <c r="B102" s="105" t="e">
        <f>IF(#REF!="","",#REF!)</f>
        <v>#REF!</v>
      </c>
      <c r="C102" s="106">
        <v>19</v>
      </c>
      <c r="D102" s="106">
        <v>18</v>
      </c>
      <c r="E102" s="106">
        <v>12</v>
      </c>
      <c r="F102" s="106"/>
      <c r="G102" s="107" t="e">
        <f>IF(#REF!="NA","",ROUND(#REF!,0))</f>
        <v>#REF!</v>
      </c>
      <c r="H102" s="107" t="e">
        <f>IF(#REF!="NA","",ROUND(#REF!,0))</f>
        <v>#REF!</v>
      </c>
      <c r="I102" s="108">
        <f t="shared" si="23"/>
        <v>0.1</v>
      </c>
      <c r="J102" s="108">
        <f t="shared" si="24"/>
        <v>0.05</v>
      </c>
      <c r="K102" s="108">
        <f t="shared" si="25"/>
        <v>0</v>
      </c>
      <c r="L102" s="108">
        <f t="shared" si="26"/>
        <v>0.05</v>
      </c>
      <c r="M102" s="108">
        <f t="shared" si="27"/>
        <v>5.0000000000000001E-3</v>
      </c>
      <c r="N102" s="109" t="e">
        <f t="shared" si="21"/>
        <v>#REF!</v>
      </c>
      <c r="O102" s="109" t="e">
        <f t="shared" si="22"/>
        <v>#REF!</v>
      </c>
      <c r="Q102" s="125" t="e">
        <f>N102-#REF!</f>
        <v>#REF!</v>
      </c>
      <c r="R102" s="125" t="e">
        <f>O102-#REF!</f>
        <v>#REF!</v>
      </c>
      <c r="AB102"/>
      <c r="AC102"/>
    </row>
    <row r="103" spans="1:29" ht="20" hidden="1" customHeight="1">
      <c r="A103" s="105" t="s">
        <v>225</v>
      </c>
      <c r="B103" s="105" t="e">
        <f>IF(#REF!="","",#REF!)</f>
        <v>#REF!</v>
      </c>
      <c r="C103" s="106">
        <v>19</v>
      </c>
      <c r="D103" s="106">
        <v>18</v>
      </c>
      <c r="E103" s="106">
        <v>12</v>
      </c>
      <c r="F103" s="106"/>
      <c r="G103" s="107" t="e">
        <f>IF(#REF!="NA","",ROUND(#REF!,0))</f>
        <v>#REF!</v>
      </c>
      <c r="H103" s="107" t="e">
        <f>IF(#REF!="NA","",ROUND(#REF!,0))</f>
        <v>#REF!</v>
      </c>
      <c r="I103" s="108">
        <f t="shared" si="23"/>
        <v>0.1</v>
      </c>
      <c r="J103" s="108">
        <f t="shared" si="24"/>
        <v>0.05</v>
      </c>
      <c r="K103" s="108">
        <f t="shared" si="25"/>
        <v>0</v>
      </c>
      <c r="L103" s="108">
        <f t="shared" si="26"/>
        <v>0.05</v>
      </c>
      <c r="M103" s="108">
        <f t="shared" si="27"/>
        <v>5.0000000000000001E-3</v>
      </c>
      <c r="N103" s="109" t="e">
        <f t="shared" si="21"/>
        <v>#REF!</v>
      </c>
      <c r="O103" s="109" t="e">
        <f t="shared" si="22"/>
        <v>#REF!</v>
      </c>
      <c r="Q103" s="125" t="e">
        <f>N103-#REF!</f>
        <v>#REF!</v>
      </c>
      <c r="R103" s="125" t="e">
        <f>O103-#REF!</f>
        <v>#REF!</v>
      </c>
      <c r="AB103"/>
      <c r="AC103"/>
    </row>
    <row r="104" spans="1:29" ht="20" hidden="1" customHeight="1">
      <c r="A104" s="105" t="s">
        <v>225</v>
      </c>
      <c r="B104" s="105" t="e">
        <f>IF(#REF!="","",#REF!)</f>
        <v>#REF!</v>
      </c>
      <c r="C104" s="106">
        <v>19</v>
      </c>
      <c r="D104" s="106">
        <v>18</v>
      </c>
      <c r="E104" s="106">
        <v>12</v>
      </c>
      <c r="F104" s="106"/>
      <c r="G104" s="107" t="e">
        <f>IF(#REF!="NA","",ROUND(#REF!,0))</f>
        <v>#REF!</v>
      </c>
      <c r="H104" s="107" t="e">
        <f>IF(#REF!="NA","",ROUND(#REF!,0))</f>
        <v>#REF!</v>
      </c>
      <c r="I104" s="108">
        <f t="shared" si="23"/>
        <v>0.1</v>
      </c>
      <c r="J104" s="108">
        <f t="shared" si="24"/>
        <v>0.05</v>
      </c>
      <c r="K104" s="108">
        <f t="shared" si="25"/>
        <v>0</v>
      </c>
      <c r="L104" s="108">
        <f t="shared" si="26"/>
        <v>0.05</v>
      </c>
      <c r="M104" s="108">
        <f t="shared" si="27"/>
        <v>5.0000000000000001E-3</v>
      </c>
      <c r="N104" s="109" t="e">
        <f t="shared" si="21"/>
        <v>#REF!</v>
      </c>
      <c r="O104" s="109" t="e">
        <f t="shared" si="22"/>
        <v>#REF!</v>
      </c>
      <c r="Q104" s="125" t="e">
        <f>N104-#REF!</f>
        <v>#REF!</v>
      </c>
      <c r="R104" s="125" t="e">
        <f>O104-#REF!</f>
        <v>#REF!</v>
      </c>
      <c r="AB104"/>
      <c r="AC104"/>
    </row>
    <row r="105" spans="1:29" ht="20" hidden="1" customHeight="1">
      <c r="A105" s="105" t="s">
        <v>225</v>
      </c>
      <c r="B105" s="105" t="e">
        <f>IF(#REF!="","",#REF!)</f>
        <v>#REF!</v>
      </c>
      <c r="C105" s="106">
        <v>19</v>
      </c>
      <c r="D105" s="106">
        <v>18</v>
      </c>
      <c r="E105" s="106">
        <v>12</v>
      </c>
      <c r="F105" s="106"/>
      <c r="G105" s="107" t="e">
        <f>IF(#REF!="NA","",ROUND(#REF!,0))</f>
        <v>#REF!</v>
      </c>
      <c r="H105" s="107" t="e">
        <f>IF(#REF!="NA","",ROUND(#REF!,0))</f>
        <v>#REF!</v>
      </c>
      <c r="I105" s="108">
        <f t="shared" si="23"/>
        <v>0.1</v>
      </c>
      <c r="J105" s="108">
        <f t="shared" si="24"/>
        <v>0.05</v>
      </c>
      <c r="K105" s="108">
        <f t="shared" si="25"/>
        <v>0</v>
      </c>
      <c r="L105" s="108">
        <f t="shared" si="26"/>
        <v>0.05</v>
      </c>
      <c r="M105" s="108">
        <f t="shared" si="27"/>
        <v>5.0000000000000001E-3</v>
      </c>
      <c r="N105" s="109" t="e">
        <f t="shared" si="21"/>
        <v>#REF!</v>
      </c>
      <c r="O105" s="109" t="e">
        <f t="shared" si="22"/>
        <v>#REF!</v>
      </c>
      <c r="Q105" s="125" t="e">
        <f>N105-#REF!</f>
        <v>#REF!</v>
      </c>
      <c r="R105" s="125" t="e">
        <f>O105-#REF!</f>
        <v>#REF!</v>
      </c>
      <c r="AB105"/>
      <c r="AC105"/>
    </row>
    <row r="106" spans="1:29" ht="20" hidden="1" customHeight="1">
      <c r="A106" s="105" t="s">
        <v>225</v>
      </c>
      <c r="B106" s="105" t="e">
        <f>IF(#REF!="","",#REF!)</f>
        <v>#REF!</v>
      </c>
      <c r="C106" s="106"/>
      <c r="D106" s="106"/>
      <c r="E106" s="106"/>
      <c r="F106" s="106"/>
      <c r="G106" s="107" t="e">
        <f>IF(#REF!="NA","",ROUND(#REF!,0))</f>
        <v>#REF!</v>
      </c>
      <c r="H106" s="107" t="e">
        <f>IF(#REF!="NA","",ROUND(#REF!,0))</f>
        <v>#REF!</v>
      </c>
      <c r="I106" s="108">
        <f t="shared" si="23"/>
        <v>0.1</v>
      </c>
      <c r="J106" s="108">
        <f t="shared" si="24"/>
        <v>0.05</v>
      </c>
      <c r="K106" s="108">
        <f t="shared" si="25"/>
        <v>0</v>
      </c>
      <c r="L106" s="108">
        <f t="shared" si="26"/>
        <v>0.05</v>
      </c>
      <c r="M106" s="108">
        <f t="shared" si="27"/>
        <v>5.0000000000000001E-3</v>
      </c>
      <c r="N106" s="109" t="e">
        <f t="shared" si="21"/>
        <v>#REF!</v>
      </c>
      <c r="O106" s="109" t="e">
        <f t="shared" si="22"/>
        <v>#REF!</v>
      </c>
      <c r="Q106" s="125" t="e">
        <f>N106-#REF!</f>
        <v>#REF!</v>
      </c>
      <c r="R106" s="125" t="e">
        <f>O106-#REF!</f>
        <v>#REF!</v>
      </c>
      <c r="AB106"/>
      <c r="AC106"/>
    </row>
    <row r="107" spans="1:29" ht="20" hidden="1" customHeight="1">
      <c r="A107" s="17" t="s">
        <v>226</v>
      </c>
      <c r="B107" s="17" t="e">
        <f>IF(#REF!="","",#REF!)</f>
        <v>#REF!</v>
      </c>
      <c r="C107" s="37">
        <v>19</v>
      </c>
      <c r="D107" s="37">
        <v>18</v>
      </c>
      <c r="E107" s="37">
        <v>12</v>
      </c>
      <c r="F107" s="37"/>
      <c r="G107" s="23" t="e">
        <f>IF(#REF!="NA","",ROUND(#REF!,0))</f>
        <v>#REF!</v>
      </c>
      <c r="H107" s="23" t="e">
        <f>IF(#REF!="NA","",ROUND(#REF!,0))</f>
        <v>#REF!</v>
      </c>
      <c r="I107" s="48">
        <f t="shared" si="23"/>
        <v>0.1</v>
      </c>
      <c r="J107" s="48">
        <f t="shared" si="24"/>
        <v>0.05</v>
      </c>
      <c r="K107" s="48">
        <f t="shared" si="25"/>
        <v>0</v>
      </c>
      <c r="L107" s="48">
        <f t="shared" si="26"/>
        <v>0.05</v>
      </c>
      <c r="M107" s="48">
        <f t="shared" si="27"/>
        <v>5.0000000000000001E-3</v>
      </c>
      <c r="N107" s="49" t="e">
        <f t="shared" si="21"/>
        <v>#REF!</v>
      </c>
      <c r="O107" s="49" t="e">
        <f t="shared" si="22"/>
        <v>#REF!</v>
      </c>
      <c r="Q107" s="125" t="e">
        <f>N107-#REF!</f>
        <v>#REF!</v>
      </c>
      <c r="R107" s="125" t="e">
        <f>O107-#REF!</f>
        <v>#REF!</v>
      </c>
      <c r="AB107"/>
      <c r="AC107"/>
    </row>
    <row r="108" spans="1:29" ht="20" hidden="1" customHeight="1">
      <c r="A108" s="17" t="s">
        <v>226</v>
      </c>
      <c r="B108" s="17" t="e">
        <f>IF(#REF!="","",#REF!)</f>
        <v>#REF!</v>
      </c>
      <c r="C108" s="37">
        <v>19</v>
      </c>
      <c r="D108" s="37">
        <v>18</v>
      </c>
      <c r="E108" s="37">
        <v>12</v>
      </c>
      <c r="F108" s="37"/>
      <c r="G108" s="23" t="e">
        <f>IF(#REF!="NA","",ROUND(#REF!,0))</f>
        <v>#REF!</v>
      </c>
      <c r="H108" s="23" t="e">
        <f>IF(#REF!="NA","",ROUND(#REF!,0))</f>
        <v>#REF!</v>
      </c>
      <c r="I108" s="48">
        <f t="shared" si="23"/>
        <v>0.1</v>
      </c>
      <c r="J108" s="48">
        <f t="shared" si="24"/>
        <v>0.05</v>
      </c>
      <c r="K108" s="48">
        <f t="shared" si="25"/>
        <v>0</v>
      </c>
      <c r="L108" s="48">
        <f t="shared" si="26"/>
        <v>0.05</v>
      </c>
      <c r="M108" s="48">
        <f t="shared" si="27"/>
        <v>5.0000000000000001E-3</v>
      </c>
      <c r="N108" s="49" t="e">
        <f t="shared" si="21"/>
        <v>#REF!</v>
      </c>
      <c r="O108" s="49" t="e">
        <f t="shared" si="22"/>
        <v>#REF!</v>
      </c>
      <c r="Q108" s="125" t="e">
        <f>N108-#REF!</f>
        <v>#REF!</v>
      </c>
      <c r="R108" s="125" t="e">
        <f>O108-#REF!</f>
        <v>#REF!</v>
      </c>
      <c r="AB108"/>
      <c r="AC108"/>
    </row>
    <row r="109" spans="1:29" ht="20" hidden="1" customHeight="1">
      <c r="A109" s="17" t="s">
        <v>226</v>
      </c>
      <c r="B109" s="17" t="e">
        <f>IF(#REF!="","",#REF!)</f>
        <v>#REF!</v>
      </c>
      <c r="C109" s="37">
        <v>19</v>
      </c>
      <c r="D109" s="37">
        <v>18</v>
      </c>
      <c r="E109" s="37">
        <v>12</v>
      </c>
      <c r="F109" s="37"/>
      <c r="G109" s="23" t="e">
        <f>IF(#REF!="NA","",ROUND(#REF!,0))</f>
        <v>#REF!</v>
      </c>
      <c r="H109" s="23" t="e">
        <f>IF(#REF!="NA","",ROUND(#REF!,0))</f>
        <v>#REF!</v>
      </c>
      <c r="I109" s="48">
        <f t="shared" si="23"/>
        <v>0.1</v>
      </c>
      <c r="J109" s="48">
        <f t="shared" si="24"/>
        <v>0.05</v>
      </c>
      <c r="K109" s="48">
        <f t="shared" si="25"/>
        <v>0</v>
      </c>
      <c r="L109" s="48">
        <f t="shared" si="26"/>
        <v>0.05</v>
      </c>
      <c r="M109" s="48">
        <f t="shared" si="27"/>
        <v>5.0000000000000001E-3</v>
      </c>
      <c r="N109" s="49" t="e">
        <f t="shared" si="21"/>
        <v>#REF!</v>
      </c>
      <c r="O109" s="49" t="e">
        <f t="shared" si="22"/>
        <v>#REF!</v>
      </c>
      <c r="Q109" s="125" t="e">
        <f>N109-#REF!</f>
        <v>#REF!</v>
      </c>
      <c r="R109" s="125" t="e">
        <f>O109-#REF!</f>
        <v>#REF!</v>
      </c>
      <c r="AB109"/>
      <c r="AC109"/>
    </row>
    <row r="110" spans="1:29" ht="20" hidden="1" customHeight="1">
      <c r="A110" s="17" t="s">
        <v>226</v>
      </c>
      <c r="B110" s="17" t="e">
        <f>IF(#REF!="","",#REF!)</f>
        <v>#REF!</v>
      </c>
      <c r="C110" s="37">
        <v>19</v>
      </c>
      <c r="D110" s="37">
        <v>18</v>
      </c>
      <c r="E110" s="37">
        <v>12</v>
      </c>
      <c r="F110" s="37"/>
      <c r="G110" s="23" t="e">
        <f>IF(#REF!="NA","",ROUND(#REF!,0))</f>
        <v>#REF!</v>
      </c>
      <c r="H110" s="23" t="e">
        <f>IF(#REF!="NA","",ROUND(#REF!,0))</f>
        <v>#REF!</v>
      </c>
      <c r="I110" s="48">
        <f t="shared" si="23"/>
        <v>0.1</v>
      </c>
      <c r="J110" s="48">
        <f t="shared" si="24"/>
        <v>0.05</v>
      </c>
      <c r="K110" s="48">
        <f t="shared" si="25"/>
        <v>0</v>
      </c>
      <c r="L110" s="48">
        <f t="shared" si="26"/>
        <v>0.05</v>
      </c>
      <c r="M110" s="48">
        <f t="shared" si="27"/>
        <v>5.0000000000000001E-3</v>
      </c>
      <c r="N110" s="49" t="e">
        <f t="shared" si="21"/>
        <v>#REF!</v>
      </c>
      <c r="O110" s="49" t="e">
        <f t="shared" si="22"/>
        <v>#REF!</v>
      </c>
      <c r="Q110" s="125" t="e">
        <f>N110-#REF!</f>
        <v>#REF!</v>
      </c>
      <c r="R110" s="125" t="e">
        <f>O110-#REF!</f>
        <v>#REF!</v>
      </c>
      <c r="AB110"/>
      <c r="AC110"/>
    </row>
    <row r="111" spans="1:29" ht="20" hidden="1" customHeight="1">
      <c r="A111" s="17" t="s">
        <v>226</v>
      </c>
      <c r="B111" s="17" t="e">
        <f>IF(#REF!="","",#REF!)</f>
        <v>#REF!</v>
      </c>
      <c r="C111" s="37">
        <v>19</v>
      </c>
      <c r="D111" s="37">
        <v>18</v>
      </c>
      <c r="E111" s="37">
        <v>12</v>
      </c>
      <c r="F111" s="37"/>
      <c r="G111" s="23" t="e">
        <f>IF(#REF!="NA","",ROUND(#REF!,0))</f>
        <v>#REF!</v>
      </c>
      <c r="H111" s="23" t="e">
        <f>IF(#REF!="NA","",ROUND(#REF!,0))</f>
        <v>#REF!</v>
      </c>
      <c r="I111" s="48">
        <f t="shared" si="23"/>
        <v>0.1</v>
      </c>
      <c r="J111" s="48">
        <f t="shared" si="24"/>
        <v>0.05</v>
      </c>
      <c r="K111" s="48">
        <f t="shared" si="25"/>
        <v>0</v>
      </c>
      <c r="L111" s="48">
        <f t="shared" si="26"/>
        <v>0.05</v>
      </c>
      <c r="M111" s="48">
        <f t="shared" si="27"/>
        <v>5.0000000000000001E-3</v>
      </c>
      <c r="N111" s="49" t="e">
        <f t="shared" si="21"/>
        <v>#REF!</v>
      </c>
      <c r="O111" s="49" t="e">
        <f t="shared" si="22"/>
        <v>#REF!</v>
      </c>
      <c r="Q111" s="125" t="e">
        <f>N111-#REF!</f>
        <v>#REF!</v>
      </c>
      <c r="R111" s="125" t="e">
        <f>O111-#REF!</f>
        <v>#REF!</v>
      </c>
      <c r="AB111"/>
      <c r="AC111"/>
    </row>
    <row r="112" spans="1:29" ht="20" hidden="1" customHeight="1">
      <c r="A112" s="17" t="s">
        <v>226</v>
      </c>
      <c r="B112" s="17" t="e">
        <f>IF(#REF!="","",#REF!)</f>
        <v>#REF!</v>
      </c>
      <c r="C112" s="37">
        <v>19</v>
      </c>
      <c r="D112" s="37">
        <v>18</v>
      </c>
      <c r="E112" s="37">
        <v>12</v>
      </c>
      <c r="F112" s="37"/>
      <c r="G112" s="23" t="e">
        <f>IF(#REF!="NA","",ROUND(#REF!,0))</f>
        <v>#REF!</v>
      </c>
      <c r="H112" s="23" t="e">
        <f>IF(#REF!="NA","",ROUND(#REF!,0))</f>
        <v>#REF!</v>
      </c>
      <c r="I112" s="48">
        <f t="shared" si="23"/>
        <v>0.1</v>
      </c>
      <c r="J112" s="48">
        <f t="shared" si="24"/>
        <v>0.05</v>
      </c>
      <c r="K112" s="48">
        <f t="shared" si="25"/>
        <v>0</v>
      </c>
      <c r="L112" s="48">
        <f t="shared" si="26"/>
        <v>0.05</v>
      </c>
      <c r="M112" s="48">
        <f t="shared" si="27"/>
        <v>5.0000000000000001E-3</v>
      </c>
      <c r="N112" s="49" t="e">
        <f t="shared" si="21"/>
        <v>#REF!</v>
      </c>
      <c r="O112" s="49" t="e">
        <f t="shared" si="22"/>
        <v>#REF!</v>
      </c>
      <c r="Q112" s="125" t="e">
        <f>N112-#REF!</f>
        <v>#REF!</v>
      </c>
      <c r="R112" s="125" t="e">
        <f>O112-#REF!</f>
        <v>#REF!</v>
      </c>
      <c r="AB112"/>
      <c r="AC112"/>
    </row>
    <row r="113" spans="1:29" ht="20" hidden="1" customHeight="1">
      <c r="A113" s="17" t="s">
        <v>226</v>
      </c>
      <c r="B113" s="17" t="e">
        <f>IF(#REF!="","",#REF!)</f>
        <v>#REF!</v>
      </c>
      <c r="C113" s="37">
        <v>19</v>
      </c>
      <c r="D113" s="37">
        <v>18</v>
      </c>
      <c r="E113" s="37">
        <v>12</v>
      </c>
      <c r="F113" s="37"/>
      <c r="G113" s="23" t="e">
        <f>IF(#REF!="NA","",ROUND(#REF!,0))</f>
        <v>#REF!</v>
      </c>
      <c r="H113" s="23" t="e">
        <f>IF(#REF!="NA","",ROUND(#REF!,0))</f>
        <v>#REF!</v>
      </c>
      <c r="I113" s="48">
        <f t="shared" si="23"/>
        <v>0.1</v>
      </c>
      <c r="J113" s="48">
        <f t="shared" si="24"/>
        <v>0.05</v>
      </c>
      <c r="K113" s="48">
        <f t="shared" si="25"/>
        <v>0</v>
      </c>
      <c r="L113" s="48">
        <f t="shared" si="26"/>
        <v>0.05</v>
      </c>
      <c r="M113" s="48">
        <f t="shared" si="27"/>
        <v>5.0000000000000001E-3</v>
      </c>
      <c r="N113" s="49" t="e">
        <f t="shared" si="21"/>
        <v>#REF!</v>
      </c>
      <c r="O113" s="49" t="e">
        <f t="shared" si="22"/>
        <v>#REF!</v>
      </c>
      <c r="Q113" s="125" t="e">
        <f>N113-#REF!</f>
        <v>#REF!</v>
      </c>
      <c r="R113" s="125" t="e">
        <f>O113-#REF!</f>
        <v>#REF!</v>
      </c>
      <c r="AB113"/>
      <c r="AC113"/>
    </row>
    <row r="114" spans="1:29" ht="20" hidden="1" customHeight="1">
      <c r="A114" s="17" t="s">
        <v>226</v>
      </c>
      <c r="B114" s="17" t="e">
        <f>IF(#REF!="","",#REF!)</f>
        <v>#REF!</v>
      </c>
      <c r="C114" s="37">
        <v>19</v>
      </c>
      <c r="D114" s="37">
        <v>18</v>
      </c>
      <c r="E114" s="37">
        <v>12</v>
      </c>
      <c r="F114" s="37"/>
      <c r="G114" s="23" t="e">
        <f>IF(#REF!="NA","",ROUND(#REF!,0))</f>
        <v>#REF!</v>
      </c>
      <c r="H114" s="23" t="e">
        <f>IF(#REF!="NA","",ROUND(#REF!,0))</f>
        <v>#REF!</v>
      </c>
      <c r="I114" s="48">
        <f t="shared" si="23"/>
        <v>0.1</v>
      </c>
      <c r="J114" s="48">
        <f t="shared" si="24"/>
        <v>0.05</v>
      </c>
      <c r="K114" s="48">
        <f t="shared" si="25"/>
        <v>0</v>
      </c>
      <c r="L114" s="48">
        <f t="shared" si="26"/>
        <v>0.05</v>
      </c>
      <c r="M114" s="48">
        <f t="shared" si="27"/>
        <v>5.0000000000000001E-3</v>
      </c>
      <c r="N114" s="49" t="e">
        <f t="shared" si="21"/>
        <v>#REF!</v>
      </c>
      <c r="O114" s="49" t="e">
        <f t="shared" si="22"/>
        <v>#REF!</v>
      </c>
      <c r="Q114" s="125" t="e">
        <f>N114-#REF!</f>
        <v>#REF!</v>
      </c>
      <c r="R114" s="125" t="e">
        <f>O114-#REF!</f>
        <v>#REF!</v>
      </c>
      <c r="AB114"/>
      <c r="AC114"/>
    </row>
    <row r="115" spans="1:29" ht="20" hidden="1" customHeight="1">
      <c r="A115" s="17" t="s">
        <v>226</v>
      </c>
      <c r="B115" s="17" t="e">
        <f>IF(#REF!="","",#REF!)</f>
        <v>#REF!</v>
      </c>
      <c r="C115" s="37">
        <v>19</v>
      </c>
      <c r="D115" s="37">
        <v>18</v>
      </c>
      <c r="E115" s="37">
        <v>12</v>
      </c>
      <c r="F115" s="37"/>
      <c r="G115" s="23" t="e">
        <f>IF(#REF!="NA","",ROUND(#REF!,0))</f>
        <v>#REF!</v>
      </c>
      <c r="H115" s="23" t="e">
        <f>IF(#REF!="NA","",ROUND(#REF!,0))</f>
        <v>#REF!</v>
      </c>
      <c r="I115" s="48">
        <f t="shared" si="23"/>
        <v>0.1</v>
      </c>
      <c r="J115" s="48">
        <f t="shared" si="24"/>
        <v>0.05</v>
      </c>
      <c r="K115" s="48">
        <f t="shared" si="25"/>
        <v>0</v>
      </c>
      <c r="L115" s="48">
        <f t="shared" si="26"/>
        <v>0.05</v>
      </c>
      <c r="M115" s="48">
        <f t="shared" si="27"/>
        <v>5.0000000000000001E-3</v>
      </c>
      <c r="N115" s="49" t="e">
        <f t="shared" si="21"/>
        <v>#REF!</v>
      </c>
      <c r="O115" s="49" t="e">
        <f t="shared" si="22"/>
        <v>#REF!</v>
      </c>
      <c r="Q115" s="125" t="e">
        <f>N115-#REF!</f>
        <v>#REF!</v>
      </c>
      <c r="R115" s="125" t="e">
        <f>O115-#REF!</f>
        <v>#REF!</v>
      </c>
      <c r="AB115"/>
      <c r="AC115"/>
    </row>
    <row r="116" spans="1:29" ht="20" hidden="1" customHeight="1">
      <c r="A116" s="17" t="s">
        <v>226</v>
      </c>
      <c r="B116" s="17" t="e">
        <f>IF(#REF!="","",#REF!)</f>
        <v>#REF!</v>
      </c>
      <c r="C116" s="37">
        <v>19</v>
      </c>
      <c r="D116" s="37">
        <v>18</v>
      </c>
      <c r="E116" s="37">
        <v>12</v>
      </c>
      <c r="F116" s="37"/>
      <c r="G116" s="23" t="e">
        <f>IF(#REF!="NA","",ROUND(#REF!,0))</f>
        <v>#REF!</v>
      </c>
      <c r="H116" s="23" t="e">
        <f>IF(#REF!="NA","",ROUND(#REF!,0))</f>
        <v>#REF!</v>
      </c>
      <c r="I116" s="48">
        <f t="shared" si="23"/>
        <v>0.1</v>
      </c>
      <c r="J116" s="48">
        <f t="shared" si="24"/>
        <v>0.05</v>
      </c>
      <c r="K116" s="48">
        <f t="shared" si="25"/>
        <v>0</v>
      </c>
      <c r="L116" s="48">
        <f t="shared" si="26"/>
        <v>0.05</v>
      </c>
      <c r="M116" s="48">
        <f t="shared" si="27"/>
        <v>5.0000000000000001E-3</v>
      </c>
      <c r="N116" s="49" t="e">
        <f t="shared" si="21"/>
        <v>#REF!</v>
      </c>
      <c r="O116" s="49" t="e">
        <f t="shared" si="22"/>
        <v>#REF!</v>
      </c>
      <c r="Q116" s="125" t="e">
        <f>N116-#REF!</f>
        <v>#REF!</v>
      </c>
      <c r="R116" s="125" t="e">
        <f>O116-#REF!</f>
        <v>#REF!</v>
      </c>
      <c r="AB116"/>
      <c r="AC116"/>
    </row>
    <row r="117" spans="1:29" ht="20" hidden="1" customHeight="1">
      <c r="A117" s="17" t="s">
        <v>226</v>
      </c>
      <c r="B117" s="17" t="e">
        <f>IF(#REF!="","",#REF!)</f>
        <v>#REF!</v>
      </c>
      <c r="C117" s="37">
        <v>19</v>
      </c>
      <c r="D117" s="37">
        <v>18</v>
      </c>
      <c r="E117" s="37">
        <v>12</v>
      </c>
      <c r="F117" s="37"/>
      <c r="G117" s="23" t="e">
        <f>IF(#REF!="NA","",ROUND(#REF!,0))</f>
        <v>#REF!</v>
      </c>
      <c r="H117" s="23" t="e">
        <f>IF(#REF!="NA","",ROUND(#REF!,0))</f>
        <v>#REF!</v>
      </c>
      <c r="I117" s="48">
        <f t="shared" si="23"/>
        <v>0.1</v>
      </c>
      <c r="J117" s="48">
        <f t="shared" si="24"/>
        <v>0.05</v>
      </c>
      <c r="K117" s="48">
        <f t="shared" si="25"/>
        <v>0</v>
      </c>
      <c r="L117" s="48">
        <f t="shared" si="26"/>
        <v>0.05</v>
      </c>
      <c r="M117" s="48">
        <f t="shared" si="27"/>
        <v>5.0000000000000001E-3</v>
      </c>
      <c r="N117" s="49" t="e">
        <f t="shared" si="21"/>
        <v>#REF!</v>
      </c>
      <c r="O117" s="49" t="e">
        <f t="shared" si="22"/>
        <v>#REF!</v>
      </c>
      <c r="Q117" s="125" t="e">
        <f>N117-#REF!</f>
        <v>#REF!</v>
      </c>
      <c r="R117" s="125" t="e">
        <f>O117-#REF!</f>
        <v>#REF!</v>
      </c>
      <c r="AB117"/>
      <c r="AC117"/>
    </row>
    <row r="118" spans="1:29" ht="20" hidden="1" customHeight="1">
      <c r="A118" s="17" t="s">
        <v>226</v>
      </c>
      <c r="B118" s="17" t="e">
        <f>IF(#REF!="","",#REF!)</f>
        <v>#REF!</v>
      </c>
      <c r="C118" s="37"/>
      <c r="D118" s="37"/>
      <c r="E118" s="37"/>
      <c r="F118" s="37"/>
      <c r="G118" s="23" t="e">
        <f>IF(#REF!="NA","",ROUND(#REF!,0))</f>
        <v>#REF!</v>
      </c>
      <c r="H118" s="23" t="e">
        <f>IF(#REF!="NA","",ROUND(#REF!,0))</f>
        <v>#REF!</v>
      </c>
      <c r="I118" s="48">
        <f t="shared" si="23"/>
        <v>0.1</v>
      </c>
      <c r="J118" s="48">
        <f t="shared" si="24"/>
        <v>0.05</v>
      </c>
      <c r="K118" s="48">
        <f t="shared" si="25"/>
        <v>0</v>
      </c>
      <c r="L118" s="48">
        <f t="shared" si="26"/>
        <v>0.05</v>
      </c>
      <c r="M118" s="48">
        <f t="shared" si="27"/>
        <v>5.0000000000000001E-3</v>
      </c>
      <c r="N118" s="49" t="e">
        <f t="shared" si="21"/>
        <v>#REF!</v>
      </c>
      <c r="O118" s="49" t="e">
        <f t="shared" si="22"/>
        <v>#REF!</v>
      </c>
      <c r="Q118" s="125" t="e">
        <f>N118-#REF!</f>
        <v>#REF!</v>
      </c>
      <c r="R118" s="125" t="e">
        <f>O118-#REF!</f>
        <v>#REF!</v>
      </c>
      <c r="AB118"/>
      <c r="AC118"/>
    </row>
    <row r="119" spans="1:29" ht="20" hidden="1" customHeight="1">
      <c r="A119" s="105" t="s">
        <v>227</v>
      </c>
      <c r="B119" s="105" t="e">
        <f>IF(#REF!="","",#REF!)</f>
        <v>#REF!</v>
      </c>
      <c r="C119" s="106">
        <v>19</v>
      </c>
      <c r="D119" s="106">
        <v>18</v>
      </c>
      <c r="E119" s="106">
        <v>12</v>
      </c>
      <c r="F119" s="106"/>
      <c r="G119" s="107"/>
      <c r="H119" s="107" t="e">
        <f>ROUND(#REF!,0)</f>
        <v>#REF!</v>
      </c>
      <c r="I119" s="108">
        <f>$O$11</f>
        <v>0.1</v>
      </c>
      <c r="J119" s="108">
        <f>$O$12</f>
        <v>0.05</v>
      </c>
      <c r="K119" s="108">
        <f>$O$13</f>
        <v>0</v>
      </c>
      <c r="L119" s="108">
        <f>$O$14</f>
        <v>0.05</v>
      </c>
      <c r="M119" s="108">
        <f>$O$15</f>
        <v>5.0000000000000001E-3</v>
      </c>
      <c r="N119" s="109" t="str">
        <f t="shared" si="21"/>
        <v/>
      </c>
      <c r="O119" s="109" t="e">
        <f t="shared" si="22"/>
        <v>#REF!</v>
      </c>
      <c r="P119" s="116" t="s">
        <v>218</v>
      </c>
      <c r="Q119" s="125" t="e">
        <f>N119-#REF!</f>
        <v>#VALUE!</v>
      </c>
      <c r="R119" s="125" t="e">
        <f>O119-#REF!</f>
        <v>#REF!</v>
      </c>
      <c r="AB119"/>
      <c r="AC119"/>
    </row>
    <row r="120" spans="1:29" ht="20" hidden="1" customHeight="1">
      <c r="A120" s="31" t="s">
        <v>228</v>
      </c>
      <c r="AB120"/>
      <c r="AC120"/>
    </row>
    <row r="121" spans="1:29" ht="20" hidden="1" customHeight="1">
      <c r="A121" s="105" t="s">
        <v>229</v>
      </c>
      <c r="B121" s="105" t="e">
        <f>IF(#REF!="","",#REF!)</f>
        <v>#REF!</v>
      </c>
      <c r="C121" s="106">
        <v>19</v>
      </c>
      <c r="D121" s="106">
        <v>18</v>
      </c>
      <c r="E121" s="106">
        <v>12</v>
      </c>
      <c r="F121" s="106"/>
      <c r="G121" s="107" t="e">
        <f>IF(#REF!="NA","",ROUND(#REF!,0))</f>
        <v>#REF!</v>
      </c>
      <c r="H121" s="107" t="e">
        <f>IF(#REF!="NA","",ROUND(#REF!,0))</f>
        <v>#REF!</v>
      </c>
      <c r="I121" s="108">
        <f>$O$11</f>
        <v>0.1</v>
      </c>
      <c r="J121" s="108">
        <f>$O$12</f>
        <v>0.05</v>
      </c>
      <c r="K121" s="108">
        <f>$O$13</f>
        <v>0</v>
      </c>
      <c r="L121" s="108">
        <f>$O$14</f>
        <v>0.05</v>
      </c>
      <c r="M121" s="108">
        <f>$O$15</f>
        <v>5.0000000000000001E-3</v>
      </c>
      <c r="N121" s="109" t="e">
        <f t="shared" ref="N121:N144" si="28">IF(G121="","",G121*(1-$O$16))</f>
        <v>#REF!</v>
      </c>
      <c r="O121" s="109" t="e">
        <f t="shared" ref="O121:O144" si="29">IF(H121="","",H121*(1-$O$16))</f>
        <v>#REF!</v>
      </c>
      <c r="Q121" s="125" t="e">
        <f>N121-#REF!</f>
        <v>#REF!</v>
      </c>
      <c r="R121" s="125" t="e">
        <f>O121-#REF!</f>
        <v>#REF!</v>
      </c>
      <c r="AB121"/>
      <c r="AC121"/>
    </row>
    <row r="122" spans="1:29" ht="20" hidden="1" customHeight="1">
      <c r="A122" s="105" t="s">
        <v>229</v>
      </c>
      <c r="B122" s="105"/>
      <c r="C122" s="106"/>
      <c r="D122" s="106"/>
      <c r="E122" s="106"/>
      <c r="F122" s="106"/>
      <c r="G122" s="107"/>
      <c r="H122" s="107" t="e">
        <f>IF(#REF!="NA","",ROUND(#REF!,0))</f>
        <v>#REF!</v>
      </c>
      <c r="I122" s="108">
        <f>$O$11</f>
        <v>0.1</v>
      </c>
      <c r="J122" s="108">
        <f>$O$12</f>
        <v>0.05</v>
      </c>
      <c r="K122" s="108">
        <f>$O$13</f>
        <v>0</v>
      </c>
      <c r="L122" s="108">
        <f>$O$14</f>
        <v>0.05</v>
      </c>
      <c r="M122" s="108">
        <f>$O$15</f>
        <v>5.0000000000000001E-3</v>
      </c>
      <c r="N122" s="109" t="str">
        <f t="shared" si="28"/>
        <v/>
      </c>
      <c r="O122" s="109" t="e">
        <f t="shared" si="29"/>
        <v>#REF!</v>
      </c>
      <c r="Q122" s="125" t="e">
        <f>N122-#REF!</f>
        <v>#VALUE!</v>
      </c>
      <c r="R122" s="125" t="e">
        <f>O122-#REF!</f>
        <v>#REF!</v>
      </c>
      <c r="AB122"/>
      <c r="AC122"/>
    </row>
    <row r="123" spans="1:29" ht="20" hidden="1" customHeight="1">
      <c r="A123" s="105" t="s">
        <v>229</v>
      </c>
      <c r="B123" s="105"/>
      <c r="C123" s="106"/>
      <c r="D123" s="106"/>
      <c r="E123" s="106"/>
      <c r="F123" s="106"/>
      <c r="G123" s="107"/>
      <c r="H123" s="107" t="e">
        <f>IF(#REF!="NA","",ROUND(#REF!,0))</f>
        <v>#REF!</v>
      </c>
      <c r="I123" s="108">
        <f t="shared" ref="I123:I143" si="30">$O$11</f>
        <v>0.1</v>
      </c>
      <c r="J123" s="108">
        <f t="shared" ref="J123:J143" si="31">$O$12</f>
        <v>0.05</v>
      </c>
      <c r="K123" s="108">
        <f t="shared" ref="K123:K143" si="32">$O$13</f>
        <v>0</v>
      </c>
      <c r="L123" s="108">
        <f t="shared" ref="L123:L143" si="33">$O$14</f>
        <v>0.05</v>
      </c>
      <c r="M123" s="108">
        <f t="shared" ref="M123:M143" si="34">$O$15</f>
        <v>5.0000000000000001E-3</v>
      </c>
      <c r="N123" s="109" t="str">
        <f t="shared" si="28"/>
        <v/>
      </c>
      <c r="O123" s="109" t="e">
        <f t="shared" si="29"/>
        <v>#REF!</v>
      </c>
      <c r="Q123" s="125" t="e">
        <f>N123-#REF!</f>
        <v>#VALUE!</v>
      </c>
      <c r="R123" s="125" t="e">
        <f>O123-#REF!</f>
        <v>#REF!</v>
      </c>
      <c r="AB123"/>
      <c r="AC123"/>
    </row>
    <row r="124" spans="1:29" ht="20" hidden="1" customHeight="1">
      <c r="A124" s="105" t="s">
        <v>229</v>
      </c>
      <c r="B124" s="105"/>
      <c r="C124" s="106"/>
      <c r="D124" s="106"/>
      <c r="E124" s="106"/>
      <c r="F124" s="106"/>
      <c r="G124" s="107"/>
      <c r="H124" s="107" t="e">
        <f>IF(#REF!="NA","",ROUND(#REF!,0))</f>
        <v>#REF!</v>
      </c>
      <c r="I124" s="108">
        <f t="shared" si="30"/>
        <v>0.1</v>
      </c>
      <c r="J124" s="108">
        <f t="shared" si="31"/>
        <v>0.05</v>
      </c>
      <c r="K124" s="108">
        <f t="shared" si="32"/>
        <v>0</v>
      </c>
      <c r="L124" s="108">
        <f t="shared" si="33"/>
        <v>0.05</v>
      </c>
      <c r="M124" s="108">
        <f t="shared" si="34"/>
        <v>5.0000000000000001E-3</v>
      </c>
      <c r="N124" s="109" t="str">
        <f t="shared" si="28"/>
        <v/>
      </c>
      <c r="O124" s="109" t="e">
        <f t="shared" si="29"/>
        <v>#REF!</v>
      </c>
      <c r="Q124" s="125" t="e">
        <f>N124-#REF!</f>
        <v>#VALUE!</v>
      </c>
      <c r="R124" s="125" t="e">
        <f>O124-#REF!</f>
        <v>#REF!</v>
      </c>
      <c r="AB124"/>
      <c r="AC124"/>
    </row>
    <row r="125" spans="1:29" ht="20" hidden="1" customHeight="1">
      <c r="A125" s="105" t="s">
        <v>229</v>
      </c>
      <c r="B125" s="105"/>
      <c r="C125" s="106"/>
      <c r="D125" s="106"/>
      <c r="E125" s="106"/>
      <c r="F125" s="106"/>
      <c r="G125" s="107"/>
      <c r="H125" s="107" t="e">
        <f>IF(#REF!="NA","",ROUND(#REF!,0))</f>
        <v>#REF!</v>
      </c>
      <c r="I125" s="108">
        <f t="shared" si="30"/>
        <v>0.1</v>
      </c>
      <c r="J125" s="108">
        <f t="shared" si="31"/>
        <v>0.05</v>
      </c>
      <c r="K125" s="108">
        <f t="shared" si="32"/>
        <v>0</v>
      </c>
      <c r="L125" s="108">
        <f t="shared" si="33"/>
        <v>0.05</v>
      </c>
      <c r="M125" s="108">
        <f t="shared" si="34"/>
        <v>5.0000000000000001E-3</v>
      </c>
      <c r="N125" s="109" t="str">
        <f t="shared" si="28"/>
        <v/>
      </c>
      <c r="O125" s="109" t="e">
        <f t="shared" si="29"/>
        <v>#REF!</v>
      </c>
      <c r="Q125" s="125" t="e">
        <f>N125-#REF!</f>
        <v>#VALUE!</v>
      </c>
      <c r="R125" s="125" t="e">
        <f>O125-#REF!</f>
        <v>#REF!</v>
      </c>
      <c r="AB125"/>
      <c r="AC125"/>
    </row>
    <row r="126" spans="1:29" ht="20" hidden="1" customHeight="1">
      <c r="A126" s="105" t="s">
        <v>229</v>
      </c>
      <c r="B126" s="105"/>
      <c r="C126" s="106"/>
      <c r="D126" s="106"/>
      <c r="E126" s="106"/>
      <c r="F126" s="106"/>
      <c r="G126" s="107"/>
      <c r="H126" s="107" t="e">
        <f>IF(#REF!="NA","",ROUND(#REF!,0))</f>
        <v>#REF!</v>
      </c>
      <c r="I126" s="108">
        <f t="shared" si="30"/>
        <v>0.1</v>
      </c>
      <c r="J126" s="108">
        <f t="shared" si="31"/>
        <v>0.05</v>
      </c>
      <c r="K126" s="108">
        <f t="shared" si="32"/>
        <v>0</v>
      </c>
      <c r="L126" s="108">
        <f t="shared" si="33"/>
        <v>0.05</v>
      </c>
      <c r="M126" s="108">
        <f t="shared" si="34"/>
        <v>5.0000000000000001E-3</v>
      </c>
      <c r="N126" s="109" t="str">
        <f t="shared" si="28"/>
        <v/>
      </c>
      <c r="O126" s="109" t="e">
        <f t="shared" si="29"/>
        <v>#REF!</v>
      </c>
      <c r="Q126" s="125" t="e">
        <f>N126-#REF!</f>
        <v>#VALUE!</v>
      </c>
      <c r="R126" s="125" t="e">
        <f>O126-#REF!</f>
        <v>#REF!</v>
      </c>
      <c r="AB126"/>
      <c r="AC126"/>
    </row>
    <row r="127" spans="1:29" ht="20" hidden="1" customHeight="1">
      <c r="A127" s="105" t="s">
        <v>229</v>
      </c>
      <c r="B127" s="105"/>
      <c r="C127" s="106"/>
      <c r="D127" s="106"/>
      <c r="E127" s="106"/>
      <c r="F127" s="106"/>
      <c r="G127" s="107"/>
      <c r="H127" s="107" t="e">
        <f>IF(#REF!="NA","",ROUND(#REF!,0))</f>
        <v>#REF!</v>
      </c>
      <c r="I127" s="108">
        <f t="shared" si="30"/>
        <v>0.1</v>
      </c>
      <c r="J127" s="108">
        <f t="shared" si="31"/>
        <v>0.05</v>
      </c>
      <c r="K127" s="108">
        <f t="shared" si="32"/>
        <v>0</v>
      </c>
      <c r="L127" s="108">
        <f t="shared" si="33"/>
        <v>0.05</v>
      </c>
      <c r="M127" s="108">
        <f t="shared" si="34"/>
        <v>5.0000000000000001E-3</v>
      </c>
      <c r="N127" s="109" t="str">
        <f t="shared" si="28"/>
        <v/>
      </c>
      <c r="O127" s="109" t="e">
        <f t="shared" si="29"/>
        <v>#REF!</v>
      </c>
      <c r="Q127" s="125" t="e">
        <f>N127-#REF!</f>
        <v>#VALUE!</v>
      </c>
      <c r="R127" s="125" t="e">
        <f>O127-#REF!</f>
        <v>#REF!</v>
      </c>
      <c r="AB127"/>
      <c r="AC127"/>
    </row>
    <row r="128" spans="1:29" ht="20" hidden="1" customHeight="1">
      <c r="A128" s="105" t="s">
        <v>229</v>
      </c>
      <c r="B128" s="105"/>
      <c r="C128" s="106"/>
      <c r="D128" s="106"/>
      <c r="E128" s="106"/>
      <c r="F128" s="106"/>
      <c r="G128" s="107"/>
      <c r="H128" s="107" t="e">
        <f>IF(#REF!="NA","",ROUND(#REF!,0))</f>
        <v>#REF!</v>
      </c>
      <c r="I128" s="108">
        <f t="shared" si="30"/>
        <v>0.1</v>
      </c>
      <c r="J128" s="108">
        <f t="shared" si="31"/>
        <v>0.05</v>
      </c>
      <c r="K128" s="108">
        <f t="shared" si="32"/>
        <v>0</v>
      </c>
      <c r="L128" s="108">
        <f t="shared" si="33"/>
        <v>0.05</v>
      </c>
      <c r="M128" s="108">
        <f t="shared" si="34"/>
        <v>5.0000000000000001E-3</v>
      </c>
      <c r="N128" s="109" t="str">
        <f t="shared" si="28"/>
        <v/>
      </c>
      <c r="O128" s="109" t="e">
        <f t="shared" si="29"/>
        <v>#REF!</v>
      </c>
      <c r="Q128" s="125" t="e">
        <f>N128-#REF!</f>
        <v>#VALUE!</v>
      </c>
      <c r="R128" s="125" t="e">
        <f>O128-#REF!</f>
        <v>#REF!</v>
      </c>
      <c r="AB128"/>
      <c r="AC128"/>
    </row>
    <row r="129" spans="1:29" ht="20" hidden="1" customHeight="1">
      <c r="A129" s="105" t="s">
        <v>229</v>
      </c>
      <c r="B129" s="105"/>
      <c r="C129" s="106"/>
      <c r="D129" s="106"/>
      <c r="E129" s="106"/>
      <c r="F129" s="106"/>
      <c r="G129" s="107"/>
      <c r="H129" s="107" t="e">
        <f>IF(#REF!="NA","",ROUND(#REF!,0))</f>
        <v>#REF!</v>
      </c>
      <c r="I129" s="108">
        <f t="shared" si="30"/>
        <v>0.1</v>
      </c>
      <c r="J129" s="108">
        <f t="shared" si="31"/>
        <v>0.05</v>
      </c>
      <c r="K129" s="108">
        <f t="shared" si="32"/>
        <v>0</v>
      </c>
      <c r="L129" s="108">
        <f t="shared" si="33"/>
        <v>0.05</v>
      </c>
      <c r="M129" s="108">
        <f t="shared" si="34"/>
        <v>5.0000000000000001E-3</v>
      </c>
      <c r="N129" s="109" t="str">
        <f t="shared" si="28"/>
        <v/>
      </c>
      <c r="O129" s="109" t="e">
        <f t="shared" si="29"/>
        <v>#REF!</v>
      </c>
      <c r="Q129" s="125" t="e">
        <f>N129-#REF!</f>
        <v>#VALUE!</v>
      </c>
      <c r="R129" s="125" t="e">
        <f>O129-#REF!</f>
        <v>#REF!</v>
      </c>
      <c r="AB129"/>
      <c r="AC129"/>
    </row>
    <row r="130" spans="1:29" ht="20" hidden="1" customHeight="1">
      <c r="A130" s="105" t="s">
        <v>229</v>
      </c>
      <c r="B130" s="105"/>
      <c r="C130" s="106"/>
      <c r="D130" s="106"/>
      <c r="E130" s="106"/>
      <c r="F130" s="106"/>
      <c r="G130" s="107"/>
      <c r="H130" s="107" t="e">
        <f>IF(#REF!="NA","",ROUND(#REF!,0))</f>
        <v>#REF!</v>
      </c>
      <c r="I130" s="108">
        <f t="shared" si="30"/>
        <v>0.1</v>
      </c>
      <c r="J130" s="108">
        <f t="shared" si="31"/>
        <v>0.05</v>
      </c>
      <c r="K130" s="108">
        <f t="shared" si="32"/>
        <v>0</v>
      </c>
      <c r="L130" s="108">
        <f t="shared" si="33"/>
        <v>0.05</v>
      </c>
      <c r="M130" s="108">
        <f t="shared" si="34"/>
        <v>5.0000000000000001E-3</v>
      </c>
      <c r="N130" s="109" t="str">
        <f t="shared" si="28"/>
        <v/>
      </c>
      <c r="O130" s="109" t="e">
        <f t="shared" si="29"/>
        <v>#REF!</v>
      </c>
      <c r="Q130" s="125" t="e">
        <f>N130-#REF!</f>
        <v>#VALUE!</v>
      </c>
      <c r="R130" s="125" t="e">
        <f>O130-#REF!</f>
        <v>#REF!</v>
      </c>
      <c r="AB130"/>
      <c r="AC130"/>
    </row>
    <row r="131" spans="1:29" ht="20" hidden="1" customHeight="1">
      <c r="A131" s="105" t="s">
        <v>229</v>
      </c>
      <c r="B131" s="105"/>
      <c r="C131" s="106"/>
      <c r="D131" s="106"/>
      <c r="E131" s="106"/>
      <c r="F131" s="106"/>
      <c r="G131" s="107"/>
      <c r="H131" s="107" t="e">
        <f>IF(#REF!="NA","",ROUND(#REF!,0))</f>
        <v>#REF!</v>
      </c>
      <c r="I131" s="108">
        <f t="shared" si="30"/>
        <v>0.1</v>
      </c>
      <c r="J131" s="108">
        <f t="shared" si="31"/>
        <v>0.05</v>
      </c>
      <c r="K131" s="108">
        <f t="shared" si="32"/>
        <v>0</v>
      </c>
      <c r="L131" s="108">
        <f t="shared" si="33"/>
        <v>0.05</v>
      </c>
      <c r="M131" s="108">
        <f t="shared" si="34"/>
        <v>5.0000000000000001E-3</v>
      </c>
      <c r="N131" s="109" t="str">
        <f t="shared" si="28"/>
        <v/>
      </c>
      <c r="O131" s="109" t="e">
        <f t="shared" si="29"/>
        <v>#REF!</v>
      </c>
      <c r="Q131" s="125" t="e">
        <f>N131-#REF!</f>
        <v>#VALUE!</v>
      </c>
      <c r="R131" s="125" t="e">
        <f>O131-#REF!</f>
        <v>#REF!</v>
      </c>
      <c r="AB131"/>
      <c r="AC131"/>
    </row>
    <row r="132" spans="1:29" ht="20" hidden="1" customHeight="1">
      <c r="A132" s="17" t="s">
        <v>230</v>
      </c>
      <c r="B132" s="17"/>
      <c r="C132" s="37"/>
      <c r="D132" s="37"/>
      <c r="E132" s="37"/>
      <c r="F132" s="37"/>
      <c r="G132" s="23"/>
      <c r="H132" s="23" t="e">
        <f>IF(#REF!="NA","",ROUND(#REF!,0))</f>
        <v>#REF!</v>
      </c>
      <c r="I132" s="48">
        <f t="shared" si="30"/>
        <v>0.1</v>
      </c>
      <c r="J132" s="48">
        <f t="shared" si="31"/>
        <v>0.05</v>
      </c>
      <c r="K132" s="48">
        <f t="shared" si="32"/>
        <v>0</v>
      </c>
      <c r="L132" s="48">
        <f t="shared" si="33"/>
        <v>0.05</v>
      </c>
      <c r="M132" s="48">
        <f t="shared" si="34"/>
        <v>5.0000000000000001E-3</v>
      </c>
      <c r="N132" s="49" t="str">
        <f t="shared" si="28"/>
        <v/>
      </c>
      <c r="O132" s="49" t="e">
        <f t="shared" si="29"/>
        <v>#REF!</v>
      </c>
      <c r="Q132" s="125" t="e">
        <f>N132-#REF!</f>
        <v>#VALUE!</v>
      </c>
      <c r="R132" s="125" t="e">
        <f>O132-#REF!</f>
        <v>#REF!</v>
      </c>
      <c r="AB132"/>
      <c r="AC132"/>
    </row>
    <row r="133" spans="1:29" ht="20" hidden="1" customHeight="1">
      <c r="A133" s="17" t="s">
        <v>230</v>
      </c>
      <c r="B133" s="17"/>
      <c r="C133" s="37"/>
      <c r="D133" s="37"/>
      <c r="E133" s="37"/>
      <c r="F133" s="37"/>
      <c r="G133" s="23"/>
      <c r="H133" s="23" t="e">
        <f>IF(#REF!="NA","",ROUND(#REF!,0))</f>
        <v>#REF!</v>
      </c>
      <c r="I133" s="48">
        <f t="shared" si="30"/>
        <v>0.1</v>
      </c>
      <c r="J133" s="48">
        <f t="shared" si="31"/>
        <v>0.05</v>
      </c>
      <c r="K133" s="48">
        <f t="shared" si="32"/>
        <v>0</v>
      </c>
      <c r="L133" s="48">
        <f t="shared" si="33"/>
        <v>0.05</v>
      </c>
      <c r="M133" s="48">
        <f t="shared" si="34"/>
        <v>5.0000000000000001E-3</v>
      </c>
      <c r="N133" s="49" t="str">
        <f t="shared" si="28"/>
        <v/>
      </c>
      <c r="O133" s="49" t="e">
        <f t="shared" si="29"/>
        <v>#REF!</v>
      </c>
      <c r="Q133" s="125" t="e">
        <f>N133-#REF!</f>
        <v>#VALUE!</v>
      </c>
      <c r="R133" s="125" t="e">
        <f>O133-#REF!</f>
        <v>#REF!</v>
      </c>
      <c r="AB133"/>
      <c r="AC133"/>
    </row>
    <row r="134" spans="1:29" ht="20" hidden="1" customHeight="1">
      <c r="A134" s="17" t="s">
        <v>230</v>
      </c>
      <c r="B134" s="17"/>
      <c r="C134" s="37"/>
      <c r="D134" s="37"/>
      <c r="E134" s="37"/>
      <c r="F134" s="37"/>
      <c r="G134" s="23"/>
      <c r="H134" s="23" t="e">
        <f>IF(#REF!="NA","",ROUND(#REF!,0))</f>
        <v>#REF!</v>
      </c>
      <c r="I134" s="48">
        <f t="shared" si="30"/>
        <v>0.1</v>
      </c>
      <c r="J134" s="48">
        <f t="shared" si="31"/>
        <v>0.05</v>
      </c>
      <c r="K134" s="48">
        <f t="shared" si="32"/>
        <v>0</v>
      </c>
      <c r="L134" s="48">
        <f t="shared" si="33"/>
        <v>0.05</v>
      </c>
      <c r="M134" s="48">
        <f t="shared" si="34"/>
        <v>5.0000000000000001E-3</v>
      </c>
      <c r="N134" s="49" t="str">
        <f t="shared" si="28"/>
        <v/>
      </c>
      <c r="O134" s="49" t="e">
        <f t="shared" si="29"/>
        <v>#REF!</v>
      </c>
      <c r="Q134" s="125" t="e">
        <f>N134-#REF!</f>
        <v>#VALUE!</v>
      </c>
      <c r="R134" s="125" t="e">
        <f>O134-#REF!</f>
        <v>#REF!</v>
      </c>
      <c r="AB134"/>
      <c r="AC134"/>
    </row>
    <row r="135" spans="1:29" ht="20" hidden="1" customHeight="1">
      <c r="A135" s="17" t="s">
        <v>230</v>
      </c>
      <c r="B135" s="17"/>
      <c r="C135" s="37"/>
      <c r="D135" s="37"/>
      <c r="E135" s="37"/>
      <c r="F135" s="37"/>
      <c r="G135" s="23"/>
      <c r="H135" s="23" t="e">
        <f>IF(#REF!="NA","",ROUND(#REF!,0))</f>
        <v>#REF!</v>
      </c>
      <c r="I135" s="48">
        <f t="shared" si="30"/>
        <v>0.1</v>
      </c>
      <c r="J135" s="48">
        <f t="shared" si="31"/>
        <v>0.05</v>
      </c>
      <c r="K135" s="48">
        <f t="shared" si="32"/>
        <v>0</v>
      </c>
      <c r="L135" s="48">
        <f t="shared" si="33"/>
        <v>0.05</v>
      </c>
      <c r="M135" s="48">
        <f t="shared" si="34"/>
        <v>5.0000000000000001E-3</v>
      </c>
      <c r="N135" s="49" t="str">
        <f t="shared" si="28"/>
        <v/>
      </c>
      <c r="O135" s="49" t="e">
        <f t="shared" si="29"/>
        <v>#REF!</v>
      </c>
      <c r="Q135" s="125" t="e">
        <f>N135-#REF!</f>
        <v>#VALUE!</v>
      </c>
      <c r="R135" s="125" t="e">
        <f>O135-#REF!</f>
        <v>#REF!</v>
      </c>
      <c r="AB135"/>
      <c r="AC135"/>
    </row>
    <row r="136" spans="1:29" ht="20" hidden="1" customHeight="1">
      <c r="A136" s="17" t="s">
        <v>230</v>
      </c>
      <c r="B136" s="17"/>
      <c r="C136" s="37"/>
      <c r="D136" s="37"/>
      <c r="E136" s="37"/>
      <c r="F136" s="37"/>
      <c r="G136" s="23"/>
      <c r="H136" s="23" t="e">
        <f>IF(#REF!="NA","",ROUND(#REF!,0))</f>
        <v>#REF!</v>
      </c>
      <c r="I136" s="48">
        <f t="shared" si="30"/>
        <v>0.1</v>
      </c>
      <c r="J136" s="48">
        <f t="shared" si="31"/>
        <v>0.05</v>
      </c>
      <c r="K136" s="48">
        <f t="shared" si="32"/>
        <v>0</v>
      </c>
      <c r="L136" s="48">
        <f t="shared" si="33"/>
        <v>0.05</v>
      </c>
      <c r="M136" s="48">
        <f t="shared" si="34"/>
        <v>5.0000000000000001E-3</v>
      </c>
      <c r="N136" s="49" t="str">
        <f t="shared" si="28"/>
        <v/>
      </c>
      <c r="O136" s="49" t="e">
        <f t="shared" si="29"/>
        <v>#REF!</v>
      </c>
      <c r="Q136" s="125" t="e">
        <f>N136-#REF!</f>
        <v>#VALUE!</v>
      </c>
      <c r="R136" s="125" t="e">
        <f>O136-#REF!</f>
        <v>#REF!</v>
      </c>
      <c r="AB136"/>
      <c r="AC136"/>
    </row>
    <row r="137" spans="1:29" ht="20" hidden="1" customHeight="1">
      <c r="A137" s="17" t="s">
        <v>230</v>
      </c>
      <c r="B137" s="17"/>
      <c r="C137" s="37"/>
      <c r="D137" s="37"/>
      <c r="E137" s="37"/>
      <c r="F137" s="37"/>
      <c r="G137" s="23"/>
      <c r="H137" s="23" t="e">
        <f>IF(#REF!="NA","",ROUND(#REF!,0))</f>
        <v>#REF!</v>
      </c>
      <c r="I137" s="48">
        <f t="shared" si="30"/>
        <v>0.1</v>
      </c>
      <c r="J137" s="48">
        <f t="shared" si="31"/>
        <v>0.05</v>
      </c>
      <c r="K137" s="48">
        <f t="shared" si="32"/>
        <v>0</v>
      </c>
      <c r="L137" s="48">
        <f t="shared" si="33"/>
        <v>0.05</v>
      </c>
      <c r="M137" s="48">
        <f t="shared" si="34"/>
        <v>5.0000000000000001E-3</v>
      </c>
      <c r="N137" s="49" t="str">
        <f t="shared" si="28"/>
        <v/>
      </c>
      <c r="O137" s="49" t="e">
        <f t="shared" si="29"/>
        <v>#REF!</v>
      </c>
      <c r="Q137" s="125" t="e">
        <f>N137-#REF!</f>
        <v>#VALUE!</v>
      </c>
      <c r="R137" s="125" t="e">
        <f>O137-#REF!</f>
        <v>#REF!</v>
      </c>
      <c r="AB137"/>
      <c r="AC137"/>
    </row>
    <row r="138" spans="1:29" ht="20" hidden="1" customHeight="1">
      <c r="A138" s="17" t="s">
        <v>230</v>
      </c>
      <c r="B138" s="17"/>
      <c r="C138" s="37"/>
      <c r="D138" s="37"/>
      <c r="E138" s="37"/>
      <c r="F138" s="37"/>
      <c r="G138" s="23"/>
      <c r="H138" s="23" t="e">
        <f>IF(#REF!="NA","",ROUND(#REF!,0))</f>
        <v>#REF!</v>
      </c>
      <c r="I138" s="48">
        <f t="shared" si="30"/>
        <v>0.1</v>
      </c>
      <c r="J138" s="48">
        <f t="shared" si="31"/>
        <v>0.05</v>
      </c>
      <c r="K138" s="48">
        <f t="shared" si="32"/>
        <v>0</v>
      </c>
      <c r="L138" s="48">
        <f t="shared" si="33"/>
        <v>0.05</v>
      </c>
      <c r="M138" s="48">
        <f t="shared" si="34"/>
        <v>5.0000000000000001E-3</v>
      </c>
      <c r="N138" s="49" t="str">
        <f t="shared" si="28"/>
        <v/>
      </c>
      <c r="O138" s="49" t="e">
        <f t="shared" si="29"/>
        <v>#REF!</v>
      </c>
      <c r="Q138" s="125" t="e">
        <f>N138-#REF!</f>
        <v>#VALUE!</v>
      </c>
      <c r="R138" s="125" t="e">
        <f>O138-#REF!</f>
        <v>#REF!</v>
      </c>
      <c r="AB138"/>
      <c r="AC138"/>
    </row>
    <row r="139" spans="1:29" ht="20" hidden="1" customHeight="1">
      <c r="A139" s="17" t="s">
        <v>230</v>
      </c>
      <c r="B139" s="17"/>
      <c r="C139" s="37"/>
      <c r="D139" s="37"/>
      <c r="E139" s="37"/>
      <c r="F139" s="37"/>
      <c r="G139" s="23"/>
      <c r="H139" s="23" t="e">
        <f>IF(#REF!="NA","",ROUND(#REF!,0))</f>
        <v>#REF!</v>
      </c>
      <c r="I139" s="48">
        <f t="shared" si="30"/>
        <v>0.1</v>
      </c>
      <c r="J139" s="48">
        <f t="shared" si="31"/>
        <v>0.05</v>
      </c>
      <c r="K139" s="48">
        <f t="shared" si="32"/>
        <v>0</v>
      </c>
      <c r="L139" s="48">
        <f t="shared" si="33"/>
        <v>0.05</v>
      </c>
      <c r="M139" s="48">
        <f t="shared" si="34"/>
        <v>5.0000000000000001E-3</v>
      </c>
      <c r="N139" s="49" t="str">
        <f t="shared" si="28"/>
        <v/>
      </c>
      <c r="O139" s="49" t="e">
        <f t="shared" si="29"/>
        <v>#REF!</v>
      </c>
      <c r="Q139" s="125" t="e">
        <f>N139-#REF!</f>
        <v>#VALUE!</v>
      </c>
      <c r="R139" s="125" t="e">
        <f>O139-#REF!</f>
        <v>#REF!</v>
      </c>
      <c r="AB139"/>
      <c r="AC139"/>
    </row>
    <row r="140" spans="1:29" ht="20" hidden="1" customHeight="1">
      <c r="A140" s="17" t="s">
        <v>230</v>
      </c>
      <c r="B140" s="17"/>
      <c r="C140" s="37"/>
      <c r="D140" s="37"/>
      <c r="E140" s="37"/>
      <c r="F140" s="37"/>
      <c r="G140" s="23"/>
      <c r="H140" s="23" t="e">
        <f>IF(#REF!="NA","",ROUND(#REF!,0))</f>
        <v>#REF!</v>
      </c>
      <c r="I140" s="48">
        <f t="shared" si="30"/>
        <v>0.1</v>
      </c>
      <c r="J140" s="48">
        <f t="shared" si="31"/>
        <v>0.05</v>
      </c>
      <c r="K140" s="48">
        <f t="shared" si="32"/>
        <v>0</v>
      </c>
      <c r="L140" s="48">
        <f t="shared" si="33"/>
        <v>0.05</v>
      </c>
      <c r="M140" s="48">
        <f t="shared" si="34"/>
        <v>5.0000000000000001E-3</v>
      </c>
      <c r="N140" s="49" t="str">
        <f t="shared" si="28"/>
        <v/>
      </c>
      <c r="O140" s="49" t="e">
        <f t="shared" si="29"/>
        <v>#REF!</v>
      </c>
      <c r="Q140" s="125" t="e">
        <f>N140-#REF!</f>
        <v>#VALUE!</v>
      </c>
      <c r="R140" s="125" t="e">
        <f>O140-#REF!</f>
        <v>#REF!</v>
      </c>
      <c r="AB140"/>
      <c r="AC140"/>
    </row>
    <row r="141" spans="1:29" ht="20" hidden="1" customHeight="1">
      <c r="A141" s="17" t="s">
        <v>230</v>
      </c>
      <c r="B141" s="17"/>
      <c r="C141" s="37"/>
      <c r="D141" s="37"/>
      <c r="E141" s="37"/>
      <c r="F141" s="37"/>
      <c r="G141" s="23"/>
      <c r="H141" s="23" t="e">
        <f>IF(#REF!="NA","",ROUND(#REF!,0))</f>
        <v>#REF!</v>
      </c>
      <c r="I141" s="48">
        <f t="shared" si="30"/>
        <v>0.1</v>
      </c>
      <c r="J141" s="48">
        <f t="shared" si="31"/>
        <v>0.05</v>
      </c>
      <c r="K141" s="48">
        <f t="shared" si="32"/>
        <v>0</v>
      </c>
      <c r="L141" s="48">
        <f t="shared" si="33"/>
        <v>0.05</v>
      </c>
      <c r="M141" s="48">
        <f t="shared" si="34"/>
        <v>5.0000000000000001E-3</v>
      </c>
      <c r="N141" s="49" t="str">
        <f t="shared" si="28"/>
        <v/>
      </c>
      <c r="O141" s="49" t="e">
        <f t="shared" si="29"/>
        <v>#REF!</v>
      </c>
      <c r="Q141" s="125" t="e">
        <f>N141-#REF!</f>
        <v>#VALUE!</v>
      </c>
      <c r="R141" s="125" t="e">
        <f>O141-#REF!</f>
        <v>#REF!</v>
      </c>
      <c r="AB141"/>
      <c r="AC141"/>
    </row>
    <row r="142" spans="1:29" ht="20" hidden="1" customHeight="1">
      <c r="A142" s="17" t="s">
        <v>230</v>
      </c>
      <c r="B142" s="17"/>
      <c r="C142" s="37"/>
      <c r="D142" s="37"/>
      <c r="E142" s="37"/>
      <c r="F142" s="37"/>
      <c r="G142" s="23"/>
      <c r="H142" s="23" t="e">
        <f>IF(#REF!="NA","",ROUND(#REF!,0))</f>
        <v>#REF!</v>
      </c>
      <c r="I142" s="48">
        <f t="shared" si="30"/>
        <v>0.1</v>
      </c>
      <c r="J142" s="48">
        <f t="shared" si="31"/>
        <v>0.05</v>
      </c>
      <c r="K142" s="48">
        <f t="shared" si="32"/>
        <v>0</v>
      </c>
      <c r="L142" s="48">
        <f t="shared" si="33"/>
        <v>0.05</v>
      </c>
      <c r="M142" s="48">
        <f t="shared" si="34"/>
        <v>5.0000000000000001E-3</v>
      </c>
      <c r="N142" s="49" t="str">
        <f t="shared" si="28"/>
        <v/>
      </c>
      <c r="O142" s="49" t="e">
        <f t="shared" si="29"/>
        <v>#REF!</v>
      </c>
      <c r="Q142" s="125" t="e">
        <f>N142-#REF!</f>
        <v>#VALUE!</v>
      </c>
      <c r="R142" s="125" t="e">
        <f>O142-#REF!</f>
        <v>#REF!</v>
      </c>
      <c r="AB142"/>
      <c r="AC142"/>
    </row>
    <row r="143" spans="1:29" ht="20" hidden="1" customHeight="1">
      <c r="A143" s="17" t="s">
        <v>230</v>
      </c>
      <c r="B143" s="17"/>
      <c r="C143" s="37"/>
      <c r="D143" s="37"/>
      <c r="E143" s="37"/>
      <c r="F143" s="37"/>
      <c r="G143" s="23"/>
      <c r="H143" s="23" t="e">
        <f>IF(#REF!="NA","",ROUND(#REF!,0))</f>
        <v>#REF!</v>
      </c>
      <c r="I143" s="48">
        <f t="shared" si="30"/>
        <v>0.1</v>
      </c>
      <c r="J143" s="48">
        <f t="shared" si="31"/>
        <v>0.05</v>
      </c>
      <c r="K143" s="48">
        <f t="shared" si="32"/>
        <v>0</v>
      </c>
      <c r="L143" s="48">
        <f t="shared" si="33"/>
        <v>0.05</v>
      </c>
      <c r="M143" s="48">
        <f t="shared" si="34"/>
        <v>5.0000000000000001E-3</v>
      </c>
      <c r="N143" s="49" t="str">
        <f t="shared" si="28"/>
        <v/>
      </c>
      <c r="O143" s="49" t="e">
        <f t="shared" si="29"/>
        <v>#REF!</v>
      </c>
      <c r="Q143" s="125" t="e">
        <f>N143-#REF!</f>
        <v>#VALUE!</v>
      </c>
      <c r="R143" s="125" t="e">
        <f>O143-#REF!</f>
        <v>#REF!</v>
      </c>
      <c r="AB143"/>
      <c r="AC143"/>
    </row>
    <row r="144" spans="1:29" ht="20" hidden="1" customHeight="1">
      <c r="A144" s="105" t="s">
        <v>231</v>
      </c>
      <c r="B144" s="105"/>
      <c r="C144" s="106"/>
      <c r="D144" s="106"/>
      <c r="E144" s="106"/>
      <c r="F144" s="106"/>
      <c r="G144" s="107"/>
      <c r="H144" s="107" t="e">
        <f>ROUND(#REF!,0)</f>
        <v>#REF!</v>
      </c>
      <c r="I144" s="108">
        <f>$O$11</f>
        <v>0.1</v>
      </c>
      <c r="J144" s="108">
        <f>$O$12</f>
        <v>0.05</v>
      </c>
      <c r="K144" s="108">
        <f>$O$13</f>
        <v>0</v>
      </c>
      <c r="L144" s="108">
        <f>$O$14</f>
        <v>0.05</v>
      </c>
      <c r="M144" s="108">
        <f>$O$15</f>
        <v>5.0000000000000001E-3</v>
      </c>
      <c r="N144" s="109" t="str">
        <f t="shared" si="28"/>
        <v/>
      </c>
      <c r="O144" s="109" t="e">
        <f t="shared" si="29"/>
        <v>#REF!</v>
      </c>
      <c r="P144" s="116" t="s">
        <v>218</v>
      </c>
      <c r="Q144" s="125" t="e">
        <f>N144-#REF!</f>
        <v>#VALUE!</v>
      </c>
      <c r="R144" s="125" t="e">
        <f>O144-#REF!</f>
        <v>#REF!</v>
      </c>
      <c r="AB144"/>
      <c r="AC144"/>
    </row>
    <row r="145" spans="28:29" ht="20" customHeight="1">
      <c r="AB145"/>
      <c r="AC145"/>
    </row>
    <row r="146" spans="28:29" ht="20" customHeight="1">
      <c r="AB146"/>
      <c r="AC146"/>
    </row>
    <row r="147" spans="28:29" ht="20" customHeight="1">
      <c r="AB147"/>
      <c r="AC147"/>
    </row>
    <row r="148" spans="28:29" ht="20" customHeight="1">
      <c r="AB148"/>
      <c r="AC148"/>
    </row>
    <row r="149" spans="28:29" ht="20" customHeight="1">
      <c r="AB149"/>
      <c r="AC149"/>
    </row>
    <row r="150" spans="28:29" ht="20" customHeight="1">
      <c r="AB150"/>
      <c r="AC150"/>
    </row>
    <row r="151" spans="28:29" ht="20" customHeight="1">
      <c r="AB151"/>
      <c r="AC151"/>
    </row>
    <row r="152" spans="28:29" ht="20" customHeight="1">
      <c r="AB152"/>
      <c r="AC152"/>
    </row>
    <row r="153" spans="28:29" ht="20" customHeight="1">
      <c r="AB153"/>
      <c r="AC153"/>
    </row>
    <row r="154" spans="28:29" ht="20" customHeight="1">
      <c r="AB154"/>
      <c r="AC154"/>
    </row>
    <row r="155" spans="28:29" ht="20" customHeight="1">
      <c r="AB155"/>
      <c r="AC155"/>
    </row>
    <row r="156" spans="28:29" ht="20" customHeight="1">
      <c r="AB156"/>
      <c r="AC156"/>
    </row>
    <row r="157" spans="28:29" ht="20" customHeight="1">
      <c r="AB157"/>
      <c r="AC157"/>
    </row>
    <row r="158" spans="28:29" ht="20" customHeight="1">
      <c r="AB158"/>
      <c r="AC158"/>
    </row>
    <row r="159" spans="28:29" ht="20" customHeight="1">
      <c r="AB159"/>
      <c r="AC159"/>
    </row>
    <row r="160" spans="28:29" ht="20" customHeight="1">
      <c r="AB160"/>
      <c r="AC160"/>
    </row>
    <row r="161" spans="28:29" ht="20" customHeight="1">
      <c r="AB161"/>
      <c r="AC161"/>
    </row>
    <row r="162" spans="28:29" ht="20" customHeight="1">
      <c r="AB162"/>
      <c r="AC162"/>
    </row>
    <row r="163" spans="28:29" ht="20" customHeight="1">
      <c r="AB163"/>
      <c r="AC163"/>
    </row>
    <row r="164" spans="28:29" ht="20" customHeight="1">
      <c r="AB164"/>
      <c r="AC164"/>
    </row>
    <row r="165" spans="28:29" ht="20" customHeight="1">
      <c r="AB165"/>
      <c r="AC165"/>
    </row>
    <row r="166" spans="28:29" ht="20" customHeight="1">
      <c r="AB166"/>
      <c r="AC166"/>
    </row>
    <row r="167" spans="28:29" ht="20" customHeight="1">
      <c r="AB167"/>
      <c r="AC167"/>
    </row>
    <row r="168" spans="28:29" ht="20" customHeight="1">
      <c r="AB168"/>
      <c r="AC168"/>
    </row>
    <row r="169" spans="28:29" ht="20" customHeight="1">
      <c r="AB169"/>
      <c r="AC169"/>
    </row>
    <row r="170" spans="28:29" ht="20" customHeight="1">
      <c r="AB170"/>
      <c r="AC170"/>
    </row>
    <row r="171" spans="28:29" ht="20" customHeight="1">
      <c r="AB171"/>
      <c r="AC171"/>
    </row>
    <row r="172" spans="28:29" ht="20" customHeight="1">
      <c r="AB172"/>
      <c r="AC172"/>
    </row>
    <row r="173" spans="28:29" ht="20" customHeight="1">
      <c r="AB173"/>
      <c r="AC173"/>
    </row>
    <row r="174" spans="28:29" ht="20" customHeight="1">
      <c r="AB174"/>
      <c r="AC174"/>
    </row>
    <row r="175" spans="28:29" ht="20" customHeight="1">
      <c r="AB175"/>
      <c r="AC175"/>
    </row>
    <row r="176" spans="28:29" ht="20" customHeight="1">
      <c r="AB176"/>
      <c r="AC176"/>
    </row>
    <row r="177" spans="28:29" ht="20" customHeight="1">
      <c r="AB177"/>
      <c r="AC177"/>
    </row>
    <row r="178" spans="28:29" ht="20" customHeight="1">
      <c r="AB178"/>
      <c r="AC178"/>
    </row>
    <row r="179" spans="28:29" ht="20" customHeight="1">
      <c r="AB179"/>
      <c r="AC179"/>
    </row>
    <row r="180" spans="28:29" ht="20" customHeight="1">
      <c r="AB180"/>
      <c r="AC180"/>
    </row>
    <row r="181" spans="28:29" ht="20" customHeight="1">
      <c r="AB181"/>
      <c r="AC181"/>
    </row>
    <row r="182" spans="28:29" ht="20" customHeight="1">
      <c r="AB182"/>
      <c r="AC182"/>
    </row>
    <row r="183" spans="28:29" ht="20" customHeight="1">
      <c r="AB183"/>
      <c r="AC183"/>
    </row>
    <row r="184" spans="28:29" ht="20" customHeight="1">
      <c r="AB184"/>
      <c r="AC184"/>
    </row>
    <row r="185" spans="28:29" ht="20" customHeight="1">
      <c r="AB185"/>
      <c r="AC185"/>
    </row>
    <row r="186" spans="28:29" ht="20" customHeight="1">
      <c r="AB186"/>
      <c r="AC186"/>
    </row>
    <row r="187" spans="28:29" ht="20" customHeight="1">
      <c r="AB187"/>
      <c r="AC187"/>
    </row>
    <row r="188" spans="28:29" ht="20" customHeight="1">
      <c r="AB188"/>
      <c r="AC188"/>
    </row>
    <row r="189" spans="28:29" ht="20" customHeight="1">
      <c r="AB189"/>
      <c r="AC189"/>
    </row>
    <row r="190" spans="28:29" ht="20" customHeight="1">
      <c r="AB190"/>
      <c r="AC190"/>
    </row>
    <row r="191" spans="28:29" ht="20" customHeight="1">
      <c r="AB191"/>
      <c r="AC191"/>
    </row>
    <row r="192" spans="28:29" ht="20" customHeight="1">
      <c r="AB192"/>
      <c r="AC192"/>
    </row>
    <row r="193" spans="28:29" ht="20" customHeight="1">
      <c r="AB193"/>
      <c r="AC193"/>
    </row>
    <row r="194" spans="28:29" ht="20" customHeight="1">
      <c r="AB194"/>
      <c r="AC194"/>
    </row>
    <row r="195" spans="28:29" ht="20" customHeight="1">
      <c r="AB195"/>
      <c r="AC195"/>
    </row>
    <row r="196" spans="28:29" ht="20" customHeight="1">
      <c r="AB196"/>
      <c r="AC196"/>
    </row>
    <row r="197" spans="28:29" ht="20" customHeight="1">
      <c r="AB197"/>
      <c r="AC197"/>
    </row>
    <row r="198" spans="28:29" ht="20" customHeight="1">
      <c r="AB198"/>
      <c r="AC198"/>
    </row>
    <row r="199" spans="28:29" ht="20" customHeight="1">
      <c r="AB199"/>
      <c r="AC199"/>
    </row>
    <row r="200" spans="28:29" ht="20" customHeight="1">
      <c r="AB200"/>
      <c r="AC200"/>
    </row>
    <row r="201" spans="28:29" ht="20" customHeight="1">
      <c r="AB201"/>
      <c r="AC201"/>
    </row>
    <row r="202" spans="28:29" ht="20" customHeight="1">
      <c r="AB202"/>
      <c r="AC202"/>
    </row>
    <row r="203" spans="28:29" ht="20" customHeight="1">
      <c r="AB203"/>
      <c r="AC203"/>
    </row>
    <row r="204" spans="28:29" ht="20" customHeight="1">
      <c r="AB204"/>
      <c r="AC204"/>
    </row>
    <row r="205" spans="28:29" ht="20" customHeight="1">
      <c r="AB205"/>
      <c r="AC205"/>
    </row>
    <row r="206" spans="28:29" ht="20" customHeight="1">
      <c r="AB206"/>
      <c r="AC206"/>
    </row>
    <row r="207" spans="28:29" ht="20" customHeight="1">
      <c r="AB207"/>
      <c r="AC207"/>
    </row>
    <row r="208" spans="28:29" ht="20" customHeight="1">
      <c r="AB208"/>
      <c r="AC208"/>
    </row>
    <row r="209" spans="28:29" ht="20" customHeight="1">
      <c r="AB209"/>
      <c r="AC209"/>
    </row>
    <row r="210" spans="28:29" ht="20" customHeight="1">
      <c r="AB210"/>
      <c r="AC210"/>
    </row>
    <row r="211" spans="28:29" ht="20" customHeight="1">
      <c r="AB211"/>
      <c r="AC211"/>
    </row>
    <row r="212" spans="28:29" ht="20" customHeight="1">
      <c r="AB212"/>
      <c r="AC212"/>
    </row>
    <row r="213" spans="28:29" ht="20" customHeight="1">
      <c r="AB213"/>
      <c r="AC213"/>
    </row>
    <row r="214" spans="28:29" ht="20" customHeight="1">
      <c r="AB214"/>
      <c r="AC214"/>
    </row>
    <row r="215" spans="28:29" ht="20" customHeight="1">
      <c r="AB215"/>
      <c r="AC215"/>
    </row>
    <row r="216" spans="28:29" ht="20" customHeight="1">
      <c r="AB216"/>
      <c r="AC216"/>
    </row>
    <row r="217" spans="28:29" ht="20" customHeight="1">
      <c r="AB217"/>
      <c r="AC217"/>
    </row>
    <row r="218" spans="28:29" ht="20" customHeight="1">
      <c r="AB218"/>
      <c r="AC218"/>
    </row>
    <row r="219" spans="28:29" ht="20" customHeight="1">
      <c r="AB219"/>
      <c r="AC219"/>
    </row>
    <row r="220" spans="28:29" ht="20" customHeight="1">
      <c r="AB220"/>
      <c r="AC220"/>
    </row>
    <row r="221" spans="28:29" ht="20" customHeight="1">
      <c r="AB221"/>
      <c r="AC221"/>
    </row>
    <row r="222" spans="28:29" ht="20" customHeight="1">
      <c r="AB222"/>
      <c r="AC222"/>
    </row>
    <row r="223" spans="28:29" ht="20" customHeight="1">
      <c r="AB223"/>
      <c r="AC223"/>
    </row>
    <row r="224" spans="28:29" ht="20" customHeight="1">
      <c r="AB224"/>
      <c r="AC224"/>
    </row>
    <row r="225" spans="28:29" ht="20" customHeight="1">
      <c r="AB225"/>
      <c r="AC225"/>
    </row>
    <row r="226" spans="28:29" ht="20" customHeight="1">
      <c r="AB226"/>
      <c r="AC226"/>
    </row>
    <row r="227" spans="28:29" ht="20" customHeight="1">
      <c r="AB227"/>
      <c r="AC227"/>
    </row>
    <row r="228" spans="28:29" ht="20" customHeight="1">
      <c r="AB228"/>
      <c r="AC228"/>
    </row>
    <row r="229" spans="28:29" ht="20" customHeight="1">
      <c r="AB229"/>
      <c r="AC229"/>
    </row>
    <row r="230" spans="28:29" ht="20" customHeight="1">
      <c r="AB230"/>
      <c r="AC230"/>
    </row>
    <row r="231" spans="28:29" ht="20" customHeight="1">
      <c r="AB231"/>
      <c r="AC231"/>
    </row>
    <row r="232" spans="28:29" ht="20" customHeight="1">
      <c r="AB232"/>
      <c r="AC232"/>
    </row>
    <row r="233" spans="28:29" ht="20" customHeight="1">
      <c r="AB233"/>
      <c r="AC233"/>
    </row>
    <row r="234" spans="28:29" ht="20" customHeight="1">
      <c r="AB234"/>
      <c r="AC234"/>
    </row>
    <row r="235" spans="28:29" ht="20" customHeight="1">
      <c r="AB235"/>
      <c r="AC235"/>
    </row>
    <row r="236" spans="28:29" ht="20" customHeight="1">
      <c r="AB236"/>
      <c r="AC236"/>
    </row>
    <row r="237" spans="28:29" ht="20" customHeight="1">
      <c r="AB237"/>
      <c r="AC237"/>
    </row>
    <row r="238" spans="28:29" ht="20" customHeight="1">
      <c r="AB238"/>
      <c r="AC238"/>
    </row>
    <row r="239" spans="28:29" ht="20" customHeight="1">
      <c r="AB239"/>
      <c r="AC239"/>
    </row>
    <row r="240" spans="28:29" ht="20" customHeight="1">
      <c r="AB240"/>
      <c r="AC240"/>
    </row>
    <row r="241" spans="28:29" ht="20" customHeight="1">
      <c r="AB241"/>
      <c r="AC241"/>
    </row>
    <row r="242" spans="28:29" ht="20" customHeight="1">
      <c r="AB242"/>
      <c r="AC242"/>
    </row>
    <row r="243" spans="28:29" ht="20" customHeight="1">
      <c r="AB243"/>
      <c r="AC243"/>
    </row>
    <row r="244" spans="28:29" ht="20" customHeight="1">
      <c r="AB244"/>
      <c r="AC244"/>
    </row>
    <row r="245" spans="28:29" ht="20" customHeight="1">
      <c r="AB245"/>
      <c r="AC245"/>
    </row>
    <row r="246" spans="28:29" ht="20" customHeight="1">
      <c r="AB246"/>
      <c r="AC246"/>
    </row>
    <row r="247" spans="28:29" ht="20" customHeight="1">
      <c r="AB247"/>
      <c r="AC247"/>
    </row>
    <row r="248" spans="28:29" ht="20" customHeight="1">
      <c r="AB248"/>
      <c r="AC248"/>
    </row>
    <row r="249" spans="28:29" ht="20" customHeight="1">
      <c r="AB249"/>
      <c r="AC249"/>
    </row>
    <row r="250" spans="28:29" ht="20" customHeight="1">
      <c r="AB250"/>
      <c r="AC250"/>
    </row>
    <row r="251" spans="28:29" ht="20" customHeight="1">
      <c r="AB251"/>
      <c r="AC251"/>
    </row>
    <row r="252" spans="28:29" ht="20" customHeight="1">
      <c r="AB252"/>
      <c r="AC252"/>
    </row>
    <row r="253" spans="28:29" ht="20" customHeight="1">
      <c r="AB253"/>
      <c r="AC253"/>
    </row>
    <row r="254" spans="28:29" ht="20" customHeight="1">
      <c r="AB254"/>
      <c r="AC254"/>
    </row>
    <row r="255" spans="28:29" ht="20" customHeight="1">
      <c r="AB255"/>
      <c r="AC255"/>
    </row>
    <row r="256" spans="28:29" ht="20" customHeight="1">
      <c r="AB256"/>
      <c r="AC256"/>
    </row>
    <row r="257" spans="28:29" ht="20" customHeight="1">
      <c r="AB257"/>
      <c r="AC257"/>
    </row>
    <row r="258" spans="28:29" ht="20" customHeight="1">
      <c r="AB258"/>
      <c r="AC258"/>
    </row>
    <row r="259" spans="28:29" ht="20" customHeight="1">
      <c r="AB259"/>
      <c r="AC259"/>
    </row>
    <row r="260" spans="28:29" ht="20" customHeight="1">
      <c r="AB260"/>
      <c r="AC260"/>
    </row>
    <row r="261" spans="28:29" ht="20" customHeight="1">
      <c r="AB261"/>
      <c r="AC261"/>
    </row>
    <row r="262" spans="28:29" ht="20" customHeight="1">
      <c r="AB262"/>
      <c r="AC262"/>
    </row>
    <row r="263" spans="28:29" ht="20" customHeight="1">
      <c r="AB263"/>
      <c r="AC263"/>
    </row>
    <row r="264" spans="28:29" ht="20" customHeight="1">
      <c r="AB264"/>
      <c r="AC264"/>
    </row>
    <row r="265" spans="28:29" ht="20" customHeight="1">
      <c r="AB265"/>
      <c r="AC265"/>
    </row>
    <row r="266" spans="28:29" ht="20" customHeight="1">
      <c r="AB266"/>
      <c r="AC266"/>
    </row>
    <row r="267" spans="28:29" ht="20" customHeight="1">
      <c r="AB267"/>
      <c r="AC267"/>
    </row>
    <row r="268" spans="28:29" ht="20" customHeight="1">
      <c r="AB268"/>
      <c r="AC268"/>
    </row>
    <row r="269" spans="28:29" ht="20" customHeight="1">
      <c r="AB269"/>
      <c r="AC269"/>
    </row>
    <row r="270" spans="28:29" ht="20" customHeight="1">
      <c r="AB270"/>
      <c r="AC270"/>
    </row>
    <row r="271" spans="28:29" ht="20" customHeight="1">
      <c r="AB271"/>
      <c r="AC271"/>
    </row>
    <row r="272" spans="28:29" ht="20" customHeight="1">
      <c r="AB272"/>
      <c r="AC272"/>
    </row>
    <row r="273" spans="28:29" ht="20" customHeight="1">
      <c r="AB273"/>
      <c r="AC273"/>
    </row>
    <row r="274" spans="28:29" ht="20" customHeight="1">
      <c r="AB274"/>
      <c r="AC274"/>
    </row>
    <row r="275" spans="28:29" ht="20" customHeight="1">
      <c r="AB275"/>
      <c r="AC275"/>
    </row>
    <row r="276" spans="28:29" ht="20" customHeight="1">
      <c r="AB276"/>
      <c r="AC276"/>
    </row>
    <row r="277" spans="28:29" ht="20" customHeight="1">
      <c r="AB277"/>
      <c r="AC277"/>
    </row>
    <row r="278" spans="28:29" ht="20" customHeight="1">
      <c r="AB278"/>
      <c r="AC278"/>
    </row>
    <row r="279" spans="28:29" ht="20" customHeight="1">
      <c r="AB279"/>
      <c r="AC279"/>
    </row>
    <row r="280" spans="28:29" ht="20" customHeight="1">
      <c r="AB280"/>
      <c r="AC280"/>
    </row>
    <row r="281" spans="28:29" ht="20" customHeight="1">
      <c r="AB281"/>
      <c r="AC281"/>
    </row>
    <row r="282" spans="28:29" ht="20" customHeight="1">
      <c r="AB282"/>
      <c r="AC282"/>
    </row>
    <row r="283" spans="28:29" ht="20" customHeight="1">
      <c r="AB283"/>
      <c r="AC283"/>
    </row>
    <row r="284" spans="28:29" ht="20" customHeight="1">
      <c r="AB284"/>
      <c r="AC284"/>
    </row>
    <row r="285" spans="28:29" ht="20" customHeight="1">
      <c r="AB285"/>
      <c r="AC285"/>
    </row>
    <row r="286" spans="28:29" ht="20" customHeight="1">
      <c r="AB286"/>
      <c r="AC286"/>
    </row>
    <row r="287" spans="28:29" ht="20" customHeight="1">
      <c r="AB287"/>
      <c r="AC287"/>
    </row>
    <row r="288" spans="28:29" ht="20" customHeight="1">
      <c r="AB288"/>
      <c r="AC288"/>
    </row>
    <row r="289" spans="28:29" ht="20" customHeight="1">
      <c r="AB289"/>
      <c r="AC289"/>
    </row>
    <row r="290" spans="28:29" ht="20" customHeight="1">
      <c r="AB290"/>
      <c r="AC290"/>
    </row>
    <row r="291" spans="28:29" ht="20" customHeight="1">
      <c r="AB291"/>
      <c r="AC291"/>
    </row>
    <row r="292" spans="28:29" ht="20" customHeight="1">
      <c r="AB292"/>
      <c r="AC292"/>
    </row>
    <row r="293" spans="28:29" ht="20" customHeight="1">
      <c r="AB293"/>
      <c r="AC293"/>
    </row>
    <row r="294" spans="28:29" ht="20" customHeight="1">
      <c r="AB294"/>
      <c r="AC294"/>
    </row>
    <row r="295" spans="28:29" ht="20" customHeight="1">
      <c r="AB295"/>
      <c r="AC295"/>
    </row>
    <row r="296" spans="28:29" ht="20" customHeight="1">
      <c r="AB296"/>
      <c r="AC296"/>
    </row>
    <row r="297" spans="28:29" ht="20" customHeight="1">
      <c r="AB297"/>
      <c r="AC297"/>
    </row>
    <row r="298" spans="28:29" ht="20" customHeight="1">
      <c r="AB298"/>
      <c r="AC298"/>
    </row>
    <row r="299" spans="28:29" ht="20" customHeight="1">
      <c r="AB299"/>
      <c r="AC299"/>
    </row>
    <row r="300" spans="28:29" ht="20" customHeight="1">
      <c r="AB300"/>
      <c r="AC300"/>
    </row>
    <row r="301" spans="28:29" ht="20" customHeight="1">
      <c r="AB301"/>
      <c r="AC301"/>
    </row>
    <row r="302" spans="28:29" ht="20" customHeight="1">
      <c r="AB302"/>
      <c r="AC302"/>
    </row>
    <row r="303" spans="28:29" ht="20" customHeight="1">
      <c r="AB303"/>
      <c r="AC303"/>
    </row>
    <row r="304" spans="28:29" ht="20" customHeight="1">
      <c r="AB304"/>
      <c r="AC304"/>
    </row>
    <row r="305" spans="28:29" ht="20" customHeight="1">
      <c r="AB305"/>
      <c r="AC305"/>
    </row>
    <row r="306" spans="28:29" ht="20" customHeight="1">
      <c r="AB306"/>
      <c r="AC306"/>
    </row>
    <row r="307" spans="28:29" ht="20" customHeight="1">
      <c r="AB307"/>
      <c r="AC307"/>
    </row>
    <row r="308" spans="28:29" ht="20" customHeight="1">
      <c r="AB308"/>
      <c r="AC308"/>
    </row>
    <row r="309" spans="28:29" ht="20" customHeight="1">
      <c r="AB309"/>
      <c r="AC309"/>
    </row>
    <row r="310" spans="28:29" ht="20" customHeight="1">
      <c r="AB310"/>
      <c r="AC310"/>
    </row>
    <row r="311" spans="28:29" ht="20" customHeight="1">
      <c r="AB311"/>
      <c r="AC311"/>
    </row>
    <row r="312" spans="28:29" ht="20" customHeight="1">
      <c r="AB312"/>
      <c r="AC312"/>
    </row>
    <row r="313" spans="28:29" ht="20" customHeight="1">
      <c r="AB313"/>
      <c r="AC313"/>
    </row>
    <row r="314" spans="28:29" ht="20" customHeight="1">
      <c r="AB314"/>
      <c r="AC314"/>
    </row>
    <row r="315" spans="28:29" ht="20" customHeight="1">
      <c r="AB315"/>
      <c r="AC315"/>
    </row>
    <row r="316" spans="28:29" ht="20" customHeight="1">
      <c r="AB316"/>
      <c r="AC316"/>
    </row>
    <row r="317" spans="28:29" ht="20" customHeight="1">
      <c r="AB317"/>
      <c r="AC317"/>
    </row>
    <row r="318" spans="28:29" ht="20" customHeight="1">
      <c r="AB318"/>
      <c r="AC318"/>
    </row>
    <row r="319" spans="28:29" ht="20" customHeight="1">
      <c r="AB319"/>
      <c r="AC319"/>
    </row>
    <row r="320" spans="28:29" ht="20" customHeight="1">
      <c r="AB320"/>
      <c r="AC320"/>
    </row>
    <row r="321" spans="28:29" ht="20" customHeight="1">
      <c r="AB321"/>
      <c r="AC321"/>
    </row>
    <row r="322" spans="28:29" ht="20" customHeight="1">
      <c r="AB322"/>
      <c r="AC322"/>
    </row>
    <row r="323" spans="28:29" ht="20" customHeight="1">
      <c r="AB323"/>
      <c r="AC323"/>
    </row>
    <row r="324" spans="28:29" ht="20" customHeight="1">
      <c r="AB324"/>
      <c r="AC324"/>
    </row>
    <row r="325" spans="28:29" ht="20" customHeight="1">
      <c r="AB325"/>
      <c r="AC325"/>
    </row>
    <row r="326" spans="28:29" ht="20" customHeight="1">
      <c r="AB326"/>
      <c r="AC326"/>
    </row>
    <row r="327" spans="28:29" ht="20" customHeight="1">
      <c r="AB327"/>
      <c r="AC327"/>
    </row>
    <row r="328" spans="28:29" ht="20" customHeight="1">
      <c r="AB328"/>
      <c r="AC328"/>
    </row>
    <row r="329" spans="28:29" ht="20" customHeight="1">
      <c r="AB329"/>
      <c r="AC329"/>
    </row>
    <row r="330" spans="28:29" ht="20" customHeight="1">
      <c r="AB330"/>
      <c r="AC330"/>
    </row>
    <row r="331" spans="28:29" ht="20" customHeight="1">
      <c r="AB331"/>
      <c r="AC331"/>
    </row>
    <row r="332" spans="28:29" ht="20" customHeight="1">
      <c r="AB332"/>
      <c r="AC332"/>
    </row>
    <row r="333" spans="28:29" ht="20" customHeight="1">
      <c r="AB333"/>
      <c r="AC333"/>
    </row>
    <row r="334" spans="28:29" ht="20" customHeight="1">
      <c r="AB334"/>
      <c r="AC334"/>
    </row>
    <row r="335" spans="28:29" ht="20" customHeight="1">
      <c r="AB335"/>
      <c r="AC335"/>
    </row>
    <row r="336" spans="28:29" ht="20" customHeight="1">
      <c r="AB336"/>
      <c r="AC336"/>
    </row>
    <row r="337" spans="28:29" ht="20" customHeight="1">
      <c r="AB337"/>
      <c r="AC337"/>
    </row>
    <row r="338" spans="28:29" ht="20" customHeight="1">
      <c r="AB338"/>
      <c r="AC338"/>
    </row>
    <row r="339" spans="28:29" ht="20" customHeight="1">
      <c r="AB339"/>
      <c r="AC339"/>
    </row>
    <row r="340" spans="28:29" ht="20" customHeight="1">
      <c r="AB340"/>
      <c r="AC340"/>
    </row>
    <row r="341" spans="28:29" ht="20" customHeight="1">
      <c r="AB341"/>
      <c r="AC341"/>
    </row>
    <row r="342" spans="28:29" ht="20" customHeight="1">
      <c r="AB342"/>
      <c r="AC342"/>
    </row>
    <row r="343" spans="28:29" ht="20" customHeight="1">
      <c r="AB343"/>
      <c r="AC343"/>
    </row>
    <row r="344" spans="28:29" ht="20" customHeight="1">
      <c r="AB344"/>
      <c r="AC344"/>
    </row>
    <row r="345" spans="28:29" ht="20" customHeight="1">
      <c r="AB345"/>
      <c r="AC345"/>
    </row>
    <row r="346" spans="28:29" ht="20" customHeight="1">
      <c r="AB346"/>
      <c r="AC346"/>
    </row>
    <row r="347" spans="28:29" ht="20" customHeight="1">
      <c r="AB347"/>
      <c r="AC347"/>
    </row>
    <row r="348" spans="28:29" ht="20" customHeight="1">
      <c r="AB348"/>
      <c r="AC348"/>
    </row>
    <row r="349" spans="28:29" ht="20" customHeight="1">
      <c r="AB349"/>
      <c r="AC349"/>
    </row>
    <row r="350" spans="28:29" ht="20" customHeight="1">
      <c r="AB350"/>
      <c r="AC350"/>
    </row>
    <row r="351" spans="28:29" ht="20" customHeight="1">
      <c r="AB351"/>
      <c r="AC351"/>
    </row>
    <row r="352" spans="28:29" ht="20" customHeight="1">
      <c r="AB352"/>
      <c r="AC352"/>
    </row>
    <row r="353" spans="28:29" ht="20" customHeight="1">
      <c r="AB353"/>
      <c r="AC353"/>
    </row>
    <row r="354" spans="28:29" ht="20" customHeight="1">
      <c r="AB354"/>
      <c r="AC354"/>
    </row>
    <row r="355" spans="28:29" ht="20" customHeight="1">
      <c r="AB355"/>
      <c r="AC355"/>
    </row>
    <row r="356" spans="28:29" ht="20" customHeight="1">
      <c r="AB356"/>
      <c r="AC356"/>
    </row>
    <row r="357" spans="28:29" ht="20" customHeight="1">
      <c r="AB357"/>
      <c r="AC357"/>
    </row>
    <row r="358" spans="28:29" ht="20" customHeight="1">
      <c r="AB358"/>
      <c r="AC358"/>
    </row>
    <row r="359" spans="28:29" ht="20" customHeight="1">
      <c r="AB359"/>
      <c r="AC359"/>
    </row>
    <row r="360" spans="28:29" ht="20" customHeight="1">
      <c r="AB360"/>
      <c r="AC360"/>
    </row>
    <row r="361" spans="28:29" ht="20" customHeight="1">
      <c r="AB361"/>
      <c r="AC361"/>
    </row>
    <row r="362" spans="28:29" ht="20" customHeight="1">
      <c r="AB362"/>
      <c r="AC362"/>
    </row>
    <row r="363" spans="28:29" ht="20" customHeight="1">
      <c r="AB363"/>
      <c r="AC363"/>
    </row>
    <row r="364" spans="28:29" ht="20" customHeight="1">
      <c r="AB364"/>
      <c r="AC364"/>
    </row>
    <row r="365" spans="28:29" ht="20" customHeight="1">
      <c r="AB365"/>
      <c r="AC365"/>
    </row>
    <row r="366" spans="28:29" ht="20" customHeight="1">
      <c r="AB366"/>
      <c r="AC366"/>
    </row>
    <row r="367" spans="28:29" ht="20" customHeight="1">
      <c r="AB367"/>
      <c r="AC367"/>
    </row>
    <row r="368" spans="28:29" ht="20" customHeight="1">
      <c r="AB368"/>
      <c r="AC368"/>
    </row>
    <row r="369" spans="28:29" ht="20" customHeight="1">
      <c r="AB369"/>
      <c r="AC369"/>
    </row>
    <row r="370" spans="28:29" ht="20" customHeight="1">
      <c r="AB370"/>
      <c r="AC370"/>
    </row>
    <row r="371" spans="28:29" ht="20" customHeight="1">
      <c r="AB371"/>
      <c r="AC371"/>
    </row>
    <row r="372" spans="28:29" ht="20" customHeight="1">
      <c r="AB372"/>
      <c r="AC372"/>
    </row>
    <row r="373" spans="28:29" ht="20" customHeight="1">
      <c r="AB373"/>
      <c r="AC373"/>
    </row>
    <row r="374" spans="28:29" ht="20" customHeight="1">
      <c r="AB374"/>
      <c r="AC374"/>
    </row>
    <row r="375" spans="28:29" ht="20" customHeight="1">
      <c r="AB375"/>
      <c r="AC375"/>
    </row>
    <row r="376" spans="28:29" ht="20" customHeight="1">
      <c r="AB376"/>
      <c r="AC376"/>
    </row>
    <row r="377" spans="28:29" ht="20" customHeight="1">
      <c r="AB377"/>
      <c r="AC377"/>
    </row>
    <row r="378" spans="28:29" ht="20" customHeight="1">
      <c r="AB378"/>
      <c r="AC378"/>
    </row>
    <row r="379" spans="28:29" ht="20" customHeight="1">
      <c r="AB379"/>
      <c r="AC379"/>
    </row>
    <row r="380" spans="28:29" ht="20" customHeight="1">
      <c r="AB380"/>
      <c r="AC380"/>
    </row>
    <row r="381" spans="28:29" ht="20" customHeight="1">
      <c r="AB381"/>
      <c r="AC381"/>
    </row>
    <row r="382" spans="28:29" ht="20" customHeight="1">
      <c r="AB382"/>
      <c r="AC382"/>
    </row>
    <row r="383" spans="28:29" ht="20" customHeight="1">
      <c r="AB383"/>
      <c r="AC383"/>
    </row>
    <row r="384" spans="28:29" ht="20" customHeight="1">
      <c r="AB384"/>
      <c r="AC384"/>
    </row>
    <row r="385" spans="28:29" ht="20" customHeight="1">
      <c r="AB385"/>
      <c r="AC385"/>
    </row>
    <row r="386" spans="28:29" ht="20" customHeight="1">
      <c r="AB386"/>
      <c r="AC386"/>
    </row>
  </sheetData>
  <autoFilter ref="A19:O19" xr:uid="{00000000-0009-0000-0000-000000000000}"/>
  <mergeCells count="14">
    <mergeCell ref="AE38:AE39"/>
    <mergeCell ref="X38:X39"/>
    <mergeCell ref="Y38:Y39"/>
    <mergeCell ref="AB38:AB39"/>
    <mergeCell ref="AC38:AC39"/>
    <mergeCell ref="AD38:AD39"/>
    <mergeCell ref="N3:O3"/>
    <mergeCell ref="A18:O18"/>
    <mergeCell ref="V19:W20"/>
    <mergeCell ref="Q20:R20"/>
    <mergeCell ref="T38:T39"/>
    <mergeCell ref="U38:U39"/>
    <mergeCell ref="V38:V39"/>
    <mergeCell ref="W38:W39"/>
  </mergeCells>
  <conditionalFormatting sqref="U29:U32">
    <cfRule type="duplicateValues" dxfId="3" priority="1"/>
  </conditionalFormatting>
  <dataValidations count="2">
    <dataValidation type="list" allowBlank="1" showInputMessage="1" showErrorMessage="1" sqref="A9 B8:B9 A12:B12" xr:uid="{194CC364-F020-F44E-9173-3C92BCD7B844}">
      <formula1>"New Business, Renewal"</formula1>
    </dataValidation>
    <dataValidation type="list" allowBlank="1" showInputMessage="1" showErrorMessage="1" sqref="B10:B11" xr:uid="{D3B1FA14-6F72-4C49-800E-D43D8D151C5C}">
      <formula1>"Annual, Semi-annual, Quarterly"</formula1>
    </dataValidation>
  </dataValidations>
  <pageMargins left="0.70866141732283472" right="0.70866141732283472" top="0.74803149606299213" bottom="0.74803149606299213" header="0.31496062992125984" footer="0.31496062992125984"/>
  <pageSetup paperSize="9" scale="49" orientation="landscape"/>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1CBCB-0708-684D-8142-BB7C9EBD552A}">
  <dimension ref="A1:BB507"/>
  <sheetViews>
    <sheetView topLeftCell="I1" zoomScaleNormal="100" workbookViewId="0">
      <selection activeCell="R20" sqref="R20"/>
    </sheetView>
  </sheetViews>
  <sheetFormatPr baseColWidth="10" defaultColWidth="23.6640625" defaultRowHeight="15"/>
  <cols>
    <col min="1" max="1" width="8.5" customWidth="1"/>
    <col min="2" max="2" width="43.33203125" bestFit="1" customWidth="1"/>
    <col min="14" max="14" width="0" hidden="1" customWidth="1"/>
    <col min="15" max="15" width="23.6640625" customWidth="1"/>
    <col min="16" max="16" width="23.6640625" hidden="1" customWidth="1"/>
    <col min="17" max="17" width="23.6640625" customWidth="1"/>
    <col min="20" max="20" width="26.33203125" customWidth="1"/>
    <col min="21" max="21" width="23.6640625" customWidth="1"/>
    <col min="22" max="22" width="24.6640625" customWidth="1"/>
    <col min="23" max="54" width="23.6640625" customWidth="1"/>
  </cols>
  <sheetData>
    <row r="1" spans="1:54" ht="30" customHeight="1">
      <c r="N1" s="69"/>
      <c r="O1" s="212" t="s">
        <v>18</v>
      </c>
      <c r="P1" s="212"/>
      <c r="Q1" s="212" t="s">
        <v>232</v>
      </c>
      <c r="R1" s="212" t="s">
        <v>233</v>
      </c>
      <c r="V1" s="56" t="s">
        <v>234</v>
      </c>
      <c r="W1" s="103" t="s">
        <v>235</v>
      </c>
      <c r="X1" s="103" t="s">
        <v>236</v>
      </c>
      <c r="Y1" s="103" t="s">
        <v>237</v>
      </c>
      <c r="Z1" s="103" t="s">
        <v>238</v>
      </c>
      <c r="AA1" s="103" t="s">
        <v>239</v>
      </c>
    </row>
    <row r="2" spans="1:54" ht="30" customHeight="1">
      <c r="N2" s="69"/>
      <c r="O2" s="70">
        <f>SUBTOTAL(9,O6:O506)</f>
        <v>144218</v>
      </c>
      <c r="P2" s="69"/>
      <c r="Q2" s="70">
        <f>SUBTOTAL(9,Q6:Q506)</f>
        <v>20976</v>
      </c>
      <c r="R2" s="70">
        <f>SUBTOTAL(9,R6:R506)</f>
        <v>165194</v>
      </c>
      <c r="W2" s="104">
        <f>'Approved Quote'!C36</f>
        <v>5244</v>
      </c>
      <c r="X2" s="104" cm="1">
        <f t="array" ref="X2:Y2">'Approved Quote'!C60:D60</f>
        <v>0</v>
      </c>
      <c r="Y2" s="104">
        <v>0</v>
      </c>
      <c r="Z2" s="104"/>
      <c r="AA2" s="104"/>
    </row>
    <row r="3" spans="1:54" ht="30" customHeight="1">
      <c r="N3" s="138"/>
      <c r="O3" s="139"/>
      <c r="P3" s="138"/>
      <c r="Q3" s="140" t="s">
        <v>240</v>
      </c>
      <c r="R3" s="70">
        <f>SUBTOTAL(3,C6:C506)</f>
        <v>17</v>
      </c>
      <c r="W3" s="104"/>
      <c r="X3" s="104"/>
      <c r="Y3" s="104"/>
      <c r="Z3" s="104"/>
      <c r="AA3" s="104"/>
    </row>
    <row r="4" spans="1:54" ht="31" customHeight="1">
      <c r="W4" s="325" t="s">
        <v>13</v>
      </c>
      <c r="X4" s="325"/>
      <c r="Y4" s="325"/>
      <c r="Z4" s="325"/>
      <c r="AA4" s="325" t="s">
        <v>54</v>
      </c>
      <c r="AB4" s="325"/>
      <c r="AC4" s="325"/>
      <c r="AD4" s="325"/>
      <c r="AE4" s="325" t="s">
        <v>56</v>
      </c>
      <c r="AF4" s="325"/>
      <c r="AG4" s="325"/>
      <c r="AH4" s="325"/>
      <c r="AI4" s="325" t="s">
        <v>58</v>
      </c>
      <c r="AJ4" s="325"/>
      <c r="AK4" s="325"/>
      <c r="AL4" s="325"/>
      <c r="AM4" s="325" t="s">
        <v>228</v>
      </c>
      <c r="AN4" s="325"/>
      <c r="AO4" s="325"/>
      <c r="AP4" s="325"/>
      <c r="AQ4" s="325" t="s">
        <v>241</v>
      </c>
      <c r="AR4" s="325"/>
      <c r="AS4" s="325"/>
      <c r="AT4" s="325"/>
      <c r="AU4" s="325" t="s">
        <v>242</v>
      </c>
      <c r="AV4" s="325"/>
      <c r="AW4" s="325"/>
      <c r="AX4" s="325"/>
      <c r="AY4" s="325" t="s">
        <v>243</v>
      </c>
      <c r="AZ4" s="325"/>
      <c r="BA4" s="325"/>
      <c r="BB4" s="325"/>
    </row>
    <row r="5" spans="1:54" ht="31" customHeight="1">
      <c r="A5" s="209" t="s">
        <v>244</v>
      </c>
      <c r="B5" s="209" t="s">
        <v>245</v>
      </c>
      <c r="C5" s="210" t="s">
        <v>246</v>
      </c>
      <c r="D5" s="209" t="s">
        <v>213</v>
      </c>
      <c r="E5" s="211" t="s">
        <v>197</v>
      </c>
      <c r="F5" s="211" t="s">
        <v>247</v>
      </c>
      <c r="G5" s="211" t="s">
        <v>248</v>
      </c>
      <c r="H5" s="211" t="s">
        <v>249</v>
      </c>
      <c r="I5" s="211" t="s">
        <v>250</v>
      </c>
      <c r="J5" s="211" t="s">
        <v>251</v>
      </c>
      <c r="K5" s="211" t="s">
        <v>252</v>
      </c>
      <c r="L5" s="211" t="s">
        <v>253</v>
      </c>
      <c r="M5" s="211" t="s">
        <v>254</v>
      </c>
      <c r="N5" s="211" t="s">
        <v>255</v>
      </c>
      <c r="O5" s="211" t="s">
        <v>18</v>
      </c>
      <c r="P5" s="211" t="s">
        <v>256</v>
      </c>
      <c r="Q5" s="211" t="s">
        <v>232</v>
      </c>
      <c r="R5" s="211" t="s">
        <v>18</v>
      </c>
      <c r="T5" s="213" t="s">
        <v>257</v>
      </c>
      <c r="U5" s="213" t="s">
        <v>258</v>
      </c>
      <c r="V5" s="213" t="s">
        <v>254</v>
      </c>
      <c r="W5" s="214" t="s">
        <v>259</v>
      </c>
      <c r="X5" s="214" t="s">
        <v>260</v>
      </c>
      <c r="Y5" s="215" t="s">
        <v>261</v>
      </c>
      <c r="Z5" s="215" t="s">
        <v>262</v>
      </c>
      <c r="AA5" s="62" t="s">
        <v>259</v>
      </c>
      <c r="AB5" s="62" t="s">
        <v>260</v>
      </c>
      <c r="AC5" s="63" t="s">
        <v>261</v>
      </c>
      <c r="AD5" s="63" t="s">
        <v>262</v>
      </c>
      <c r="AE5" s="50" t="s">
        <v>259</v>
      </c>
      <c r="AF5" s="50" t="s">
        <v>260</v>
      </c>
      <c r="AG5" s="61" t="s">
        <v>261</v>
      </c>
      <c r="AH5" s="61" t="s">
        <v>262</v>
      </c>
      <c r="AI5" s="62" t="s">
        <v>259</v>
      </c>
      <c r="AJ5" s="62" t="s">
        <v>260</v>
      </c>
      <c r="AK5" s="63" t="s">
        <v>261</v>
      </c>
      <c r="AL5" s="63" t="s">
        <v>262</v>
      </c>
      <c r="AM5" s="50" t="s">
        <v>259</v>
      </c>
      <c r="AN5" s="50" t="s">
        <v>260</v>
      </c>
      <c r="AO5" s="61" t="s">
        <v>261</v>
      </c>
      <c r="AP5" s="61" t="s">
        <v>262</v>
      </c>
      <c r="AQ5" s="62" t="s">
        <v>259</v>
      </c>
      <c r="AR5" s="62" t="s">
        <v>260</v>
      </c>
      <c r="AS5" s="63" t="s">
        <v>261</v>
      </c>
      <c r="AT5" s="63" t="s">
        <v>262</v>
      </c>
      <c r="AU5" s="50" t="s">
        <v>259</v>
      </c>
      <c r="AV5" s="50" t="s">
        <v>260</v>
      </c>
      <c r="AW5" s="61" t="s">
        <v>261</v>
      </c>
      <c r="AX5" s="61" t="s">
        <v>262</v>
      </c>
      <c r="AY5" s="62" t="s">
        <v>259</v>
      </c>
      <c r="AZ5" s="62" t="s">
        <v>260</v>
      </c>
      <c r="BA5" s="63" t="s">
        <v>261</v>
      </c>
      <c r="BB5" s="63" t="s">
        <v>262</v>
      </c>
    </row>
    <row r="6" spans="1:54" ht="16">
      <c r="A6" s="58">
        <v>1</v>
      </c>
      <c r="B6" s="58" t="s">
        <v>263</v>
      </c>
      <c r="C6" s="57">
        <v>30593</v>
      </c>
      <c r="D6" s="58" t="s">
        <v>264</v>
      </c>
      <c r="E6" s="58" t="s">
        <v>235</v>
      </c>
      <c r="F6" s="58" t="s">
        <v>265</v>
      </c>
      <c r="G6" s="58" t="s">
        <v>266</v>
      </c>
      <c r="H6" s="58" t="s">
        <v>267</v>
      </c>
      <c r="I6" s="126"/>
      <c r="J6" s="58" t="str">
        <f t="shared" ref="J6:J69" si="0">IF(D6="","",E6&amp;LEFT(D6)&amp;IF(F6="Employee","E","D"))</f>
        <v>AME</v>
      </c>
      <c r="K6" s="58">
        <f t="shared" ref="K6:K69" si="1">IF(J6="","",VLOOKUP(J6,$Y$19:$Z$50,2,FALSE))</f>
        <v>2</v>
      </c>
      <c r="L6" s="59">
        <f>IF(C6="","",DATEDIF(C6,'Premium Table'!$B$6,"Y"))</f>
        <v>42</v>
      </c>
      <c r="M6" s="59" t="str">
        <f>IF(L6="","",IF(H6="","Choose Plan (DXB/AUH)",IF(H6="DXB",VLOOKUP(L6,$V$55:$W$154,2,FALSE),IF(H6="AUH",VLOOKUP(L6,$V$55:$X$154,3,FALSE),"Choose Plan (DXB/AUH)"))))</f>
        <v>41 - 45</v>
      </c>
      <c r="N6" s="59">
        <f t="shared" ref="N6:N69" si="2">IF(L6="","",IF(M6="","",IF(H6="DXB",VLOOKUP(M6,DXBAgeBr,3,FALSE),IF(H6="AUH",VLOOKUP(M6,AUHAgeBr,2,FALSE),""))))</f>
        <v>7</v>
      </c>
      <c r="O6" s="102">
        <f>IF(M6="","",VLOOKUP(N6,$V$5:$BB$17,K6,FALSE))</f>
        <v>8785</v>
      </c>
      <c r="P6" s="102">
        <f>IF(L6="","",IF(H6="DXB",46,IF(H6="AUH",51,"")))</f>
        <v>46</v>
      </c>
      <c r="Q6" s="68">
        <f>IF(AND(LEFT(D6,1)="F",G6="Married",L6&gt;17,L6&lt;P6),HLOOKUP(E6,$W$1:$AA$2,2,FALSE),0)</f>
        <v>0</v>
      </c>
      <c r="R6" s="102">
        <f t="shared" ref="R6:R69" si="3">IF(M6="","",O6+Q6)</f>
        <v>8785</v>
      </c>
      <c r="T6" s="51" t="s">
        <v>23</v>
      </c>
      <c r="U6" s="51" t="s">
        <v>268</v>
      </c>
      <c r="V6" s="127">
        <v>1</v>
      </c>
      <c r="W6" s="60" t="s">
        <v>269</v>
      </c>
      <c r="X6" s="60" t="s">
        <v>269</v>
      </c>
      <c r="Y6" s="52">
        <f>'Approved Quote'!G20</f>
        <v>6499</v>
      </c>
      <c r="Z6" s="52">
        <f>'Approved Quote'!I20</f>
        <v>5234</v>
      </c>
      <c r="AA6" s="60" t="s">
        <v>269</v>
      </c>
      <c r="AB6" s="60" t="s">
        <v>269</v>
      </c>
      <c r="AC6" s="52">
        <f>'Approved Quote'!G44</f>
        <v>0</v>
      </c>
      <c r="AD6" s="52">
        <f>'Approved Quote'!I44</f>
        <v>0</v>
      </c>
      <c r="AE6" s="60" t="s">
        <v>269</v>
      </c>
      <c r="AF6" s="60" t="s">
        <v>269</v>
      </c>
      <c r="AG6" s="52">
        <f>'Approved Quote'!G68</f>
        <v>0</v>
      </c>
      <c r="AH6" s="52">
        <f>'Approved Quote'!I68</f>
        <v>0</v>
      </c>
      <c r="AI6" s="60" t="s">
        <v>269</v>
      </c>
      <c r="AJ6" s="60" t="s">
        <v>269</v>
      </c>
      <c r="AK6" s="52">
        <f>'Approved Quote'!G92</f>
        <v>0</v>
      </c>
      <c r="AL6" s="52">
        <f>'Approved Quote'!I92</f>
        <v>0</v>
      </c>
      <c r="AM6" s="60" t="s">
        <v>269</v>
      </c>
      <c r="AN6" s="60" t="s">
        <v>269</v>
      </c>
      <c r="AO6" s="52"/>
      <c r="AP6" s="52"/>
      <c r="AQ6" s="60" t="s">
        <v>269</v>
      </c>
      <c r="AR6" s="60" t="s">
        <v>269</v>
      </c>
      <c r="AS6" s="52"/>
      <c r="AT6" s="52"/>
      <c r="AU6" s="60" t="s">
        <v>269</v>
      </c>
      <c r="AV6" s="60" t="s">
        <v>269</v>
      </c>
      <c r="AW6" s="52"/>
      <c r="AX6" s="52"/>
      <c r="AY6" s="60" t="s">
        <v>269</v>
      </c>
      <c r="AZ6" s="60" t="s">
        <v>269</v>
      </c>
      <c r="BA6" s="52"/>
      <c r="BB6" s="52"/>
    </row>
    <row r="7" spans="1:54" ht="16">
      <c r="A7" s="58">
        <f t="shared" ref="A7:A70" si="4">IF(C7="","",A6+1)</f>
        <v>2</v>
      </c>
      <c r="B7" s="58" t="s">
        <v>270</v>
      </c>
      <c r="C7" s="57">
        <v>30768</v>
      </c>
      <c r="D7" s="58" t="s">
        <v>271</v>
      </c>
      <c r="E7" s="58" t="s">
        <v>235</v>
      </c>
      <c r="F7" s="58" t="s">
        <v>272</v>
      </c>
      <c r="G7" s="58" t="s">
        <v>266</v>
      </c>
      <c r="H7" s="58" t="s">
        <v>267</v>
      </c>
      <c r="I7" s="126"/>
      <c r="J7" s="58" t="str">
        <f t="shared" si="0"/>
        <v>AFD</v>
      </c>
      <c r="K7" s="58">
        <f t="shared" si="1"/>
        <v>5</v>
      </c>
      <c r="L7" s="59">
        <f>IF(C7="","",DATEDIF(C7,'Premium Table'!$B$6,"Y"))</f>
        <v>41</v>
      </c>
      <c r="M7" s="59" t="str">
        <f t="shared" ref="M7:M70" si="5">IF(L7="","",IF(H7="","Choose Plan (DXB/AUH)",IF(H7="DXB",VLOOKUP(L7,$V$55:$W$154,2,FALSE),IF(H7="AUH",VLOOKUP(L7,$V$55:$X$154,3,FALSE),"Choose Plan (DXB/AUH)"))))</f>
        <v>41 - 45</v>
      </c>
      <c r="N7" s="59">
        <f t="shared" si="2"/>
        <v>7</v>
      </c>
      <c r="O7" s="102">
        <f t="shared" ref="O7:O70" si="6">IF(M7="","",VLOOKUP(N7,$V$5:$BB$17,K7,FALSE))</f>
        <v>12068</v>
      </c>
      <c r="P7" s="102">
        <f t="shared" ref="P7:P70" si="7">IF(L7="","",IF(H7="DXB",46,IF(H7="AUH",51,"")))</f>
        <v>46</v>
      </c>
      <c r="Q7" s="68">
        <f t="shared" ref="Q7:Q70" si="8">IF(AND(LEFT(D7,1)="F",G7="Married",L7&gt;17,L7&lt;P7),HLOOKUP(E7,$W$1:$AA$2,2,FALSE),0)</f>
        <v>5244</v>
      </c>
      <c r="R7" s="102">
        <f t="shared" si="3"/>
        <v>17312</v>
      </c>
      <c r="T7" s="51" t="s">
        <v>25</v>
      </c>
      <c r="U7" s="51" t="s">
        <v>273</v>
      </c>
      <c r="V7" s="127">
        <v>2</v>
      </c>
      <c r="W7" s="52">
        <f>'Approved Quote'!B21</f>
        <v>3157</v>
      </c>
      <c r="X7" s="52">
        <f>'Approved Quote'!D21</f>
        <v>3217</v>
      </c>
      <c r="Y7" s="52">
        <f>'Approved Quote'!G21</f>
        <v>4674</v>
      </c>
      <c r="Z7" s="52">
        <f>'Approved Quote'!I21</f>
        <v>4750</v>
      </c>
      <c r="AA7" s="52">
        <f>'Approved Quote'!B45</f>
        <v>0</v>
      </c>
      <c r="AB7" s="52">
        <f>'Approved Quote'!D45</f>
        <v>0</v>
      </c>
      <c r="AC7" s="52">
        <f>'Approved Quote'!G45</f>
        <v>0</v>
      </c>
      <c r="AD7" s="52">
        <f>'Approved Quote'!I45</f>
        <v>0</v>
      </c>
      <c r="AE7" s="52">
        <f>'Approved Quote'!B69</f>
        <v>0</v>
      </c>
      <c r="AF7" s="52">
        <f>'Approved Quote'!D69</f>
        <v>0</v>
      </c>
      <c r="AG7" s="52">
        <f>'Approved Quote'!G69</f>
        <v>0</v>
      </c>
      <c r="AH7" s="52">
        <f>'Approved Quote'!I69</f>
        <v>0</v>
      </c>
      <c r="AI7" s="52">
        <f>'Approved Quote'!B93</f>
        <v>0</v>
      </c>
      <c r="AJ7" s="52">
        <f>'Approved Quote'!D93</f>
        <v>0</v>
      </c>
      <c r="AK7" s="52">
        <f>'Approved Quote'!G93</f>
        <v>0</v>
      </c>
      <c r="AL7" s="52">
        <f>'Approved Quote'!I93</f>
        <v>0</v>
      </c>
      <c r="AM7" s="52"/>
      <c r="AN7" s="52"/>
      <c r="AO7" s="52"/>
      <c r="AP7" s="52"/>
      <c r="AQ7" s="60" t="s">
        <v>269</v>
      </c>
      <c r="AR7" s="60" t="s">
        <v>269</v>
      </c>
      <c r="AS7" s="52"/>
      <c r="AT7" s="52"/>
      <c r="AU7" s="60" t="s">
        <v>269</v>
      </c>
      <c r="AV7" s="60" t="s">
        <v>269</v>
      </c>
      <c r="AW7" s="52"/>
      <c r="AX7" s="52"/>
      <c r="AY7" s="60" t="s">
        <v>269</v>
      </c>
      <c r="AZ7" s="60" t="s">
        <v>269</v>
      </c>
      <c r="BA7" s="52"/>
      <c r="BB7" s="52"/>
    </row>
    <row r="8" spans="1:54" ht="16">
      <c r="A8" s="58">
        <f t="shared" si="4"/>
        <v>3</v>
      </c>
      <c r="B8" s="58" t="s">
        <v>274</v>
      </c>
      <c r="C8" s="57">
        <v>41596</v>
      </c>
      <c r="D8" s="58" t="s">
        <v>271</v>
      </c>
      <c r="E8" s="58" t="s">
        <v>235</v>
      </c>
      <c r="F8" s="58" t="s">
        <v>275</v>
      </c>
      <c r="G8" s="58" t="s">
        <v>276</v>
      </c>
      <c r="H8" s="58" t="s">
        <v>267</v>
      </c>
      <c r="I8" s="126"/>
      <c r="J8" s="58" t="str">
        <f t="shared" si="0"/>
        <v>AFD</v>
      </c>
      <c r="K8" s="58">
        <f t="shared" si="1"/>
        <v>5</v>
      </c>
      <c r="L8" s="59">
        <f>IF(C8="","",DATEDIF(C8,'Premium Table'!$B$6,"Y"))</f>
        <v>12</v>
      </c>
      <c r="M8" s="59" t="str">
        <f t="shared" si="5"/>
        <v>11 - 17</v>
      </c>
      <c r="N8" s="59">
        <f t="shared" si="2"/>
        <v>2</v>
      </c>
      <c r="O8" s="102">
        <f t="shared" si="6"/>
        <v>4750</v>
      </c>
      <c r="P8" s="102">
        <f t="shared" si="7"/>
        <v>46</v>
      </c>
      <c r="Q8" s="68">
        <f t="shared" si="8"/>
        <v>0</v>
      </c>
      <c r="R8" s="102">
        <f t="shared" si="3"/>
        <v>4750</v>
      </c>
      <c r="T8" s="51" t="s">
        <v>27</v>
      </c>
      <c r="U8" s="51" t="s">
        <v>277</v>
      </c>
      <c r="V8" s="127">
        <v>3</v>
      </c>
      <c r="W8" s="52">
        <f>'Approved Quote'!B22</f>
        <v>5253</v>
      </c>
      <c r="X8" s="52">
        <f>'Approved Quote'!D22</f>
        <v>5997</v>
      </c>
      <c r="Y8" s="52">
        <f>'Approved Quote'!G22</f>
        <v>5253</v>
      </c>
      <c r="Z8" s="52">
        <f>'Approved Quote'!I22</f>
        <v>5997</v>
      </c>
      <c r="AA8" s="52">
        <f>'Approved Quote'!B46</f>
        <v>0</v>
      </c>
      <c r="AB8" s="52">
        <f>'Approved Quote'!D46</f>
        <v>0</v>
      </c>
      <c r="AC8" s="52">
        <f>'Approved Quote'!G46</f>
        <v>0</v>
      </c>
      <c r="AD8" s="52">
        <f>'Approved Quote'!I46</f>
        <v>0</v>
      </c>
      <c r="AE8" s="52">
        <f>'Approved Quote'!B70</f>
        <v>0</v>
      </c>
      <c r="AF8" s="52">
        <f>'Approved Quote'!D70</f>
        <v>0</v>
      </c>
      <c r="AG8" s="52">
        <f>'Approved Quote'!G70</f>
        <v>0</v>
      </c>
      <c r="AH8" s="52">
        <f>'Approved Quote'!I70</f>
        <v>0</v>
      </c>
      <c r="AI8" s="52">
        <f>'Approved Quote'!B94</f>
        <v>0</v>
      </c>
      <c r="AJ8" s="52">
        <f>'Approved Quote'!D94</f>
        <v>0</v>
      </c>
      <c r="AK8" s="52">
        <f>'Approved Quote'!G94</f>
        <v>0</v>
      </c>
      <c r="AL8" s="52">
        <f>'Approved Quote'!I94</f>
        <v>0</v>
      </c>
      <c r="AM8" s="52"/>
      <c r="AN8" s="52"/>
      <c r="AO8" s="52"/>
      <c r="AP8" s="52"/>
      <c r="AQ8" s="52"/>
      <c r="AR8" s="52"/>
      <c r="AS8" s="52"/>
      <c r="AT8" s="52"/>
      <c r="AU8" s="52"/>
      <c r="AV8" s="52"/>
      <c r="AW8" s="52"/>
      <c r="AX8" s="52"/>
      <c r="AY8" s="52"/>
      <c r="AZ8" s="52"/>
      <c r="BA8" s="52"/>
      <c r="BB8" s="52"/>
    </row>
    <row r="9" spans="1:54" ht="16">
      <c r="A9" s="58">
        <f t="shared" si="4"/>
        <v>4</v>
      </c>
      <c r="B9" s="58" t="s">
        <v>278</v>
      </c>
      <c r="C9" s="57">
        <v>43316</v>
      </c>
      <c r="D9" s="58" t="s">
        <v>271</v>
      </c>
      <c r="E9" s="58" t="s">
        <v>235</v>
      </c>
      <c r="F9" s="58" t="s">
        <v>275</v>
      </c>
      <c r="G9" s="58" t="s">
        <v>276</v>
      </c>
      <c r="H9" s="58" t="s">
        <v>267</v>
      </c>
      <c r="I9" s="126"/>
      <c r="J9" s="58" t="str">
        <f t="shared" si="0"/>
        <v>AFD</v>
      </c>
      <c r="K9" s="58">
        <f t="shared" si="1"/>
        <v>5</v>
      </c>
      <c r="L9" s="59">
        <f>IF(C9="","",DATEDIF(C9,'Premium Table'!$B$6,"Y"))</f>
        <v>7</v>
      </c>
      <c r="M9" s="59" t="str">
        <f t="shared" si="5"/>
        <v>0 - 10</v>
      </c>
      <c r="N9" s="59">
        <f t="shared" si="2"/>
        <v>1</v>
      </c>
      <c r="O9" s="102">
        <f t="shared" si="6"/>
        <v>5234</v>
      </c>
      <c r="P9" s="102">
        <f t="shared" si="7"/>
        <v>46</v>
      </c>
      <c r="Q9" s="68">
        <f t="shared" si="8"/>
        <v>0</v>
      </c>
      <c r="R9" s="102">
        <f t="shared" si="3"/>
        <v>5234</v>
      </c>
      <c r="T9" s="51" t="s">
        <v>29</v>
      </c>
      <c r="U9" s="51" t="s">
        <v>43</v>
      </c>
      <c r="V9" s="127">
        <v>4</v>
      </c>
      <c r="W9" s="52">
        <f>'Approved Quote'!B23</f>
        <v>5833</v>
      </c>
      <c r="X9" s="52">
        <f>'Approved Quote'!D23</f>
        <v>7304</v>
      </c>
      <c r="Y9" s="52">
        <f>'Approved Quote'!G23</f>
        <v>5833</v>
      </c>
      <c r="Z9" s="52">
        <f>'Approved Quote'!I23</f>
        <v>7304</v>
      </c>
      <c r="AA9" s="52">
        <f>'Approved Quote'!B47</f>
        <v>0</v>
      </c>
      <c r="AB9" s="52">
        <f>'Approved Quote'!D47</f>
        <v>0</v>
      </c>
      <c r="AC9" s="52">
        <f>'Approved Quote'!G47</f>
        <v>0</v>
      </c>
      <c r="AD9" s="52">
        <f>'Approved Quote'!I47</f>
        <v>0</v>
      </c>
      <c r="AE9" s="52">
        <f>'Approved Quote'!B71</f>
        <v>0</v>
      </c>
      <c r="AF9" s="52">
        <f>'Approved Quote'!D71</f>
        <v>0</v>
      </c>
      <c r="AG9" s="52">
        <f>'Approved Quote'!G71</f>
        <v>0</v>
      </c>
      <c r="AH9" s="52">
        <f>'Approved Quote'!I71</f>
        <v>0</v>
      </c>
      <c r="AI9" s="52">
        <f>'Approved Quote'!B95</f>
        <v>0</v>
      </c>
      <c r="AJ9" s="52">
        <f>'Approved Quote'!D95</f>
        <v>0</v>
      </c>
      <c r="AK9" s="52">
        <f>'Approved Quote'!G95</f>
        <v>0</v>
      </c>
      <c r="AL9" s="52">
        <f>'Approved Quote'!I95</f>
        <v>0</v>
      </c>
      <c r="AM9" s="52"/>
      <c r="AN9" s="52"/>
      <c r="AO9" s="52"/>
      <c r="AP9" s="52"/>
      <c r="AQ9" s="52"/>
      <c r="AR9" s="52"/>
      <c r="AS9" s="52"/>
      <c r="AT9" s="52"/>
      <c r="AU9" s="52"/>
      <c r="AV9" s="52"/>
      <c r="AW9" s="52"/>
      <c r="AX9" s="52"/>
      <c r="AY9" s="52"/>
      <c r="AZ9" s="52"/>
      <c r="BA9" s="52"/>
      <c r="BB9" s="52"/>
    </row>
    <row r="10" spans="1:54" ht="16">
      <c r="A10" s="58">
        <f t="shared" si="4"/>
        <v>5</v>
      </c>
      <c r="B10" s="58" t="s">
        <v>279</v>
      </c>
      <c r="C10" s="57">
        <v>43958</v>
      </c>
      <c r="D10" s="58" t="s">
        <v>271</v>
      </c>
      <c r="E10" s="58" t="s">
        <v>235</v>
      </c>
      <c r="F10" s="58" t="s">
        <v>275</v>
      </c>
      <c r="G10" s="58" t="s">
        <v>276</v>
      </c>
      <c r="H10" s="58" t="s">
        <v>267</v>
      </c>
      <c r="I10" s="126"/>
      <c r="J10" s="58" t="str">
        <f t="shared" si="0"/>
        <v>AFD</v>
      </c>
      <c r="K10" s="58">
        <f t="shared" si="1"/>
        <v>5</v>
      </c>
      <c r="L10" s="59">
        <f>IF(C10="","",DATEDIF(C10,'Premium Table'!$B$6,"Y"))</f>
        <v>5</v>
      </c>
      <c r="M10" s="59" t="str">
        <f t="shared" si="5"/>
        <v>0 - 10</v>
      </c>
      <c r="N10" s="59">
        <f t="shared" si="2"/>
        <v>1</v>
      </c>
      <c r="O10" s="102">
        <f t="shared" si="6"/>
        <v>5234</v>
      </c>
      <c r="P10" s="102">
        <f t="shared" si="7"/>
        <v>46</v>
      </c>
      <c r="Q10" s="68">
        <f t="shared" si="8"/>
        <v>0</v>
      </c>
      <c r="R10" s="102">
        <f t="shared" si="3"/>
        <v>5234</v>
      </c>
      <c r="T10" s="51" t="s">
        <v>31</v>
      </c>
      <c r="U10" s="51" t="s">
        <v>45</v>
      </c>
      <c r="V10" s="127">
        <v>5</v>
      </c>
      <c r="W10" s="52">
        <f>'Approved Quote'!B24</f>
        <v>6915</v>
      </c>
      <c r="X10" s="52">
        <f>'Approved Quote'!D24</f>
        <v>8606</v>
      </c>
      <c r="Y10" s="52">
        <f>'Approved Quote'!G24</f>
        <v>6915</v>
      </c>
      <c r="Z10" s="52">
        <f>'Approved Quote'!I24</f>
        <v>8606</v>
      </c>
      <c r="AA10" s="52">
        <f>'Approved Quote'!B48</f>
        <v>0</v>
      </c>
      <c r="AB10" s="52">
        <f>'Approved Quote'!D48</f>
        <v>0</v>
      </c>
      <c r="AC10" s="52">
        <f>'Approved Quote'!G48</f>
        <v>0</v>
      </c>
      <c r="AD10" s="52">
        <f>'Approved Quote'!I48</f>
        <v>0</v>
      </c>
      <c r="AE10" s="52">
        <f>'Approved Quote'!B72</f>
        <v>0</v>
      </c>
      <c r="AF10" s="52">
        <f>'Approved Quote'!D72</f>
        <v>0</v>
      </c>
      <c r="AG10" s="52">
        <f>'Approved Quote'!G72</f>
        <v>0</v>
      </c>
      <c r="AH10" s="52">
        <f>'Approved Quote'!I72</f>
        <v>0</v>
      </c>
      <c r="AI10" s="52">
        <f>'Approved Quote'!B96</f>
        <v>0</v>
      </c>
      <c r="AJ10" s="52">
        <f>'Approved Quote'!D96</f>
        <v>0</v>
      </c>
      <c r="AK10" s="52">
        <f>'Approved Quote'!G96</f>
        <v>0</v>
      </c>
      <c r="AL10" s="52">
        <f>'Approved Quote'!I96</f>
        <v>0</v>
      </c>
      <c r="AM10" s="52"/>
      <c r="AN10" s="52"/>
      <c r="AO10" s="52"/>
      <c r="AP10" s="52"/>
      <c r="AQ10" s="52"/>
      <c r="AR10" s="52"/>
      <c r="AS10" s="52"/>
      <c r="AT10" s="52"/>
      <c r="AU10" s="52"/>
      <c r="AV10" s="52"/>
      <c r="AW10" s="52"/>
      <c r="AX10" s="52"/>
      <c r="AY10" s="52"/>
      <c r="AZ10" s="52"/>
      <c r="BA10" s="52"/>
      <c r="BB10" s="52"/>
    </row>
    <row r="11" spans="1:54" ht="16">
      <c r="A11" s="58">
        <f t="shared" si="4"/>
        <v>6</v>
      </c>
      <c r="B11" s="58" t="s">
        <v>280</v>
      </c>
      <c r="C11" s="57">
        <v>35126</v>
      </c>
      <c r="D11" s="58" t="s">
        <v>271</v>
      </c>
      <c r="E11" s="58" t="s">
        <v>235</v>
      </c>
      <c r="F11" s="58" t="s">
        <v>265</v>
      </c>
      <c r="G11" s="58" t="s">
        <v>266</v>
      </c>
      <c r="H11" s="58" t="s">
        <v>267</v>
      </c>
      <c r="I11" s="126"/>
      <c r="J11" s="58" t="str">
        <f t="shared" si="0"/>
        <v>AFE</v>
      </c>
      <c r="K11" s="58">
        <f t="shared" si="1"/>
        <v>3</v>
      </c>
      <c r="L11" s="59">
        <f>IF(C11="","",DATEDIF(C11,'Premium Table'!$B$6,"Y"))</f>
        <v>30</v>
      </c>
      <c r="M11" s="59" t="str">
        <f t="shared" si="5"/>
        <v>26 - 30</v>
      </c>
      <c r="N11" s="59">
        <f t="shared" si="2"/>
        <v>4</v>
      </c>
      <c r="O11" s="102">
        <f t="shared" si="6"/>
        <v>7304</v>
      </c>
      <c r="P11" s="102">
        <f t="shared" si="7"/>
        <v>46</v>
      </c>
      <c r="Q11" s="68">
        <f t="shared" si="8"/>
        <v>5244</v>
      </c>
      <c r="R11" s="102">
        <f t="shared" si="3"/>
        <v>12548</v>
      </c>
      <c r="T11" s="51" t="s">
        <v>33</v>
      </c>
      <c r="U11" s="51"/>
      <c r="V11" s="127">
        <v>6</v>
      </c>
      <c r="W11" s="52">
        <f>'Approved Quote'!B25</f>
        <v>8397</v>
      </c>
      <c r="X11" s="52">
        <f>'Approved Quote'!D25</f>
        <v>10589</v>
      </c>
      <c r="Y11" s="52">
        <f>'Approved Quote'!G25</f>
        <v>8397</v>
      </c>
      <c r="Z11" s="52">
        <f>'Approved Quote'!I25</f>
        <v>10589</v>
      </c>
      <c r="AA11" s="52">
        <f>'Approved Quote'!B49</f>
        <v>0</v>
      </c>
      <c r="AB11" s="52">
        <f>'Approved Quote'!D49</f>
        <v>0</v>
      </c>
      <c r="AC11" s="52">
        <f>'Approved Quote'!G49</f>
        <v>0</v>
      </c>
      <c r="AD11" s="52">
        <f>'Approved Quote'!I49</f>
        <v>0</v>
      </c>
      <c r="AE11" s="52">
        <f>'Approved Quote'!B73</f>
        <v>0</v>
      </c>
      <c r="AF11" s="52">
        <f>'Approved Quote'!D73</f>
        <v>0</v>
      </c>
      <c r="AG11" s="52">
        <f>'Approved Quote'!G73</f>
        <v>0</v>
      </c>
      <c r="AH11" s="52">
        <f>'Approved Quote'!I73</f>
        <v>0</v>
      </c>
      <c r="AI11" s="52">
        <f>'Approved Quote'!B97</f>
        <v>0</v>
      </c>
      <c r="AJ11" s="52">
        <f>'Approved Quote'!D97</f>
        <v>0</v>
      </c>
      <c r="AK11" s="52">
        <f>'Approved Quote'!G97</f>
        <v>0</v>
      </c>
      <c r="AL11" s="52">
        <f>'Approved Quote'!I97</f>
        <v>0</v>
      </c>
      <c r="AM11" s="52"/>
      <c r="AN11" s="52"/>
      <c r="AO11" s="52"/>
      <c r="AP11" s="52"/>
      <c r="AQ11" s="52"/>
      <c r="AR11" s="52"/>
      <c r="AS11" s="52"/>
      <c r="AT11" s="52"/>
      <c r="AU11" s="52"/>
      <c r="AV11" s="52"/>
      <c r="AW11" s="52"/>
      <c r="AX11" s="52"/>
      <c r="AY11" s="52"/>
      <c r="AZ11" s="52"/>
      <c r="BA11" s="52"/>
      <c r="BB11" s="52"/>
    </row>
    <row r="12" spans="1:54" ht="16">
      <c r="A12" s="58">
        <f t="shared" si="4"/>
        <v>7</v>
      </c>
      <c r="B12" s="58" t="s">
        <v>281</v>
      </c>
      <c r="C12" s="57">
        <v>45839</v>
      </c>
      <c r="D12" s="58" t="s">
        <v>271</v>
      </c>
      <c r="E12" s="58" t="s">
        <v>235</v>
      </c>
      <c r="F12" s="58" t="s">
        <v>275</v>
      </c>
      <c r="G12" s="58" t="s">
        <v>276</v>
      </c>
      <c r="H12" s="58" t="s">
        <v>267</v>
      </c>
      <c r="I12" s="126"/>
      <c r="J12" s="58" t="str">
        <f t="shared" si="0"/>
        <v>AFD</v>
      </c>
      <c r="K12" s="58">
        <f t="shared" si="1"/>
        <v>5</v>
      </c>
      <c r="L12" s="59">
        <f>IF(C12="","",DATEDIF(C12,'Premium Table'!$B$6,"Y"))</f>
        <v>0</v>
      </c>
      <c r="M12" s="59" t="str">
        <f t="shared" si="5"/>
        <v>0 - 10</v>
      </c>
      <c r="N12" s="59">
        <f t="shared" si="2"/>
        <v>1</v>
      </c>
      <c r="O12" s="102">
        <f t="shared" si="6"/>
        <v>5234</v>
      </c>
      <c r="P12" s="102">
        <f t="shared" si="7"/>
        <v>46</v>
      </c>
      <c r="Q12" s="68">
        <f t="shared" si="8"/>
        <v>0</v>
      </c>
      <c r="R12" s="102">
        <f t="shared" si="3"/>
        <v>5234</v>
      </c>
      <c r="T12" s="51" t="s">
        <v>35</v>
      </c>
      <c r="U12" s="51"/>
      <c r="V12" s="127">
        <v>7</v>
      </c>
      <c r="W12" s="52">
        <f>'Approved Quote'!B26</f>
        <v>8785</v>
      </c>
      <c r="X12" s="52">
        <f>'Approved Quote'!D26</f>
        <v>12068</v>
      </c>
      <c r="Y12" s="52">
        <f>'Approved Quote'!G26</f>
        <v>8795</v>
      </c>
      <c r="Z12" s="52">
        <f>'Approved Quote'!I26</f>
        <v>12068</v>
      </c>
      <c r="AA12" s="52">
        <f>'Approved Quote'!B50</f>
        <v>0</v>
      </c>
      <c r="AB12" s="52">
        <f>'Approved Quote'!D50</f>
        <v>0</v>
      </c>
      <c r="AC12" s="52">
        <f>'Approved Quote'!G50</f>
        <v>0</v>
      </c>
      <c r="AD12" s="52">
        <f>'Approved Quote'!I50</f>
        <v>0</v>
      </c>
      <c r="AE12" s="52">
        <f>'Approved Quote'!B74</f>
        <v>0</v>
      </c>
      <c r="AF12" s="52">
        <f>'Approved Quote'!D74</f>
        <v>0</v>
      </c>
      <c r="AG12" s="52">
        <f>'Approved Quote'!G74</f>
        <v>0</v>
      </c>
      <c r="AH12" s="52">
        <f>'Approved Quote'!I74</f>
        <v>0</v>
      </c>
      <c r="AI12" s="52">
        <f>'Approved Quote'!B98</f>
        <v>0</v>
      </c>
      <c r="AJ12" s="52">
        <f>'Approved Quote'!D98</f>
        <v>0</v>
      </c>
      <c r="AK12" s="52">
        <f>'Approved Quote'!G98</f>
        <v>0</v>
      </c>
      <c r="AL12" s="52">
        <f>'Approved Quote'!I98</f>
        <v>0</v>
      </c>
      <c r="AM12" s="52"/>
      <c r="AN12" s="52"/>
      <c r="AO12" s="52"/>
      <c r="AP12" s="52"/>
      <c r="AQ12" s="52"/>
      <c r="AR12" s="52"/>
      <c r="AS12" s="52"/>
      <c r="AT12" s="52"/>
      <c r="AU12" s="52"/>
      <c r="AV12" s="52"/>
      <c r="AW12" s="52"/>
      <c r="AX12" s="52"/>
      <c r="AY12" s="52"/>
      <c r="AZ12" s="52"/>
      <c r="BA12" s="52"/>
      <c r="BB12" s="52"/>
    </row>
    <row r="13" spans="1:54" ht="16">
      <c r="A13" s="58">
        <f t="shared" si="4"/>
        <v>8</v>
      </c>
      <c r="B13" s="58" t="s">
        <v>282</v>
      </c>
      <c r="C13" s="57">
        <v>32415</v>
      </c>
      <c r="D13" s="58" t="s">
        <v>264</v>
      </c>
      <c r="E13" s="58" t="s">
        <v>235</v>
      </c>
      <c r="F13" s="58" t="s">
        <v>265</v>
      </c>
      <c r="G13" s="58" t="s">
        <v>266</v>
      </c>
      <c r="H13" s="58" t="s">
        <v>267</v>
      </c>
      <c r="I13" s="58"/>
      <c r="J13" s="58" t="str">
        <f t="shared" si="0"/>
        <v>AME</v>
      </c>
      <c r="K13" s="58">
        <f t="shared" si="1"/>
        <v>2</v>
      </c>
      <c r="L13" s="59">
        <f>IF(C13="","",DATEDIF(C13,'Premium Table'!$B$6,"Y"))</f>
        <v>37</v>
      </c>
      <c r="M13" s="59" t="str">
        <f t="shared" si="5"/>
        <v>36 - 40</v>
      </c>
      <c r="N13" s="59">
        <f t="shared" si="2"/>
        <v>6</v>
      </c>
      <c r="O13" s="102">
        <f t="shared" si="6"/>
        <v>8397</v>
      </c>
      <c r="P13" s="102">
        <f t="shared" si="7"/>
        <v>46</v>
      </c>
      <c r="Q13" s="68">
        <f t="shared" si="8"/>
        <v>0</v>
      </c>
      <c r="R13" s="102">
        <f t="shared" si="3"/>
        <v>8397</v>
      </c>
      <c r="T13" s="51" t="s">
        <v>37</v>
      </c>
      <c r="U13" s="51"/>
      <c r="V13" s="127">
        <v>8</v>
      </c>
      <c r="W13" s="52">
        <f>'Approved Quote'!B27</f>
        <v>11304</v>
      </c>
      <c r="X13" s="52">
        <f>'Approved Quote'!D27</f>
        <v>14951</v>
      </c>
      <c r="Y13" s="52">
        <f>'Approved Quote'!G27</f>
        <v>11304</v>
      </c>
      <c r="Z13" s="52">
        <f>'Approved Quote'!I27</f>
        <v>14951</v>
      </c>
      <c r="AA13" s="52">
        <f>'Approved Quote'!B51</f>
        <v>0</v>
      </c>
      <c r="AB13" s="52">
        <f>'Approved Quote'!D51</f>
        <v>0</v>
      </c>
      <c r="AC13" s="52">
        <f>'Approved Quote'!G51</f>
        <v>0</v>
      </c>
      <c r="AD13" s="52">
        <f>'Approved Quote'!I51</f>
        <v>0</v>
      </c>
      <c r="AE13" s="52">
        <f>'Approved Quote'!B75</f>
        <v>0</v>
      </c>
      <c r="AF13" s="52">
        <f>'Approved Quote'!D75</f>
        <v>0</v>
      </c>
      <c r="AG13" s="52">
        <f>'Approved Quote'!G75</f>
        <v>0</v>
      </c>
      <c r="AH13" s="52">
        <f>'Approved Quote'!I75</f>
        <v>0</v>
      </c>
      <c r="AI13" s="52">
        <f>'Approved Quote'!B99</f>
        <v>0</v>
      </c>
      <c r="AJ13" s="52">
        <f>'Approved Quote'!D99</f>
        <v>0</v>
      </c>
      <c r="AK13" s="52">
        <f>'Approved Quote'!G99</f>
        <v>0</v>
      </c>
      <c r="AL13" s="52">
        <f>'Approved Quote'!I99</f>
        <v>0</v>
      </c>
      <c r="AM13" s="52"/>
      <c r="AN13" s="52"/>
      <c r="AO13" s="52"/>
      <c r="AP13" s="52"/>
      <c r="AQ13" s="52"/>
      <c r="AR13" s="52"/>
      <c r="AS13" s="52"/>
      <c r="AT13" s="52"/>
      <c r="AU13" s="52"/>
      <c r="AV13" s="52"/>
      <c r="AW13" s="52"/>
      <c r="AX13" s="52"/>
      <c r="AY13" s="52"/>
      <c r="AZ13" s="52"/>
      <c r="BA13" s="52"/>
      <c r="BB13" s="52"/>
    </row>
    <row r="14" spans="1:54" ht="16">
      <c r="A14" s="58">
        <f t="shared" si="4"/>
        <v>9</v>
      </c>
      <c r="B14" s="58" t="s">
        <v>283</v>
      </c>
      <c r="C14" s="57">
        <v>35014</v>
      </c>
      <c r="D14" s="58" t="s">
        <v>271</v>
      </c>
      <c r="E14" s="58" t="s">
        <v>235</v>
      </c>
      <c r="F14" s="58" t="s">
        <v>272</v>
      </c>
      <c r="G14" s="58" t="s">
        <v>266</v>
      </c>
      <c r="H14" s="58" t="s">
        <v>267</v>
      </c>
      <c r="I14" s="58"/>
      <c r="J14" s="58" t="str">
        <f t="shared" si="0"/>
        <v>AFD</v>
      </c>
      <c r="K14" s="58">
        <f t="shared" si="1"/>
        <v>5</v>
      </c>
      <c r="L14" s="59">
        <f>IF(C14="","",DATEDIF(C14,'Premium Table'!$B$6,"Y"))</f>
        <v>30</v>
      </c>
      <c r="M14" s="59" t="str">
        <f t="shared" si="5"/>
        <v>26 - 30</v>
      </c>
      <c r="N14" s="59">
        <f t="shared" si="2"/>
        <v>4</v>
      </c>
      <c r="O14" s="102">
        <f t="shared" si="6"/>
        <v>7304</v>
      </c>
      <c r="P14" s="102">
        <f t="shared" si="7"/>
        <v>46</v>
      </c>
      <c r="Q14" s="68">
        <f t="shared" si="8"/>
        <v>5244</v>
      </c>
      <c r="R14" s="102">
        <f t="shared" si="3"/>
        <v>12548</v>
      </c>
      <c r="T14" s="51" t="s">
        <v>39</v>
      </c>
      <c r="U14" s="51"/>
      <c r="V14" s="127">
        <v>9</v>
      </c>
      <c r="W14" s="52">
        <f>'Approved Quote'!B28</f>
        <v>14946</v>
      </c>
      <c r="X14" s="52">
        <f>'Approved Quote'!D28</f>
        <v>19507</v>
      </c>
      <c r="Y14" s="52">
        <f>'Approved Quote'!G28</f>
        <v>14946</v>
      </c>
      <c r="Z14" s="52">
        <f>'Approved Quote'!I28</f>
        <v>19507</v>
      </c>
      <c r="AA14" s="52">
        <f>'Approved Quote'!B52</f>
        <v>0</v>
      </c>
      <c r="AB14" s="52">
        <f>'Approved Quote'!D52</f>
        <v>0</v>
      </c>
      <c r="AC14" s="52">
        <f>'Approved Quote'!G52</f>
        <v>0</v>
      </c>
      <c r="AD14" s="52">
        <f>'Approved Quote'!I52</f>
        <v>0</v>
      </c>
      <c r="AE14" s="52">
        <f>'Approved Quote'!B76</f>
        <v>0</v>
      </c>
      <c r="AF14" s="52">
        <f>'Approved Quote'!D76</f>
        <v>0</v>
      </c>
      <c r="AG14" s="52">
        <f>'Approved Quote'!G76</f>
        <v>0</v>
      </c>
      <c r="AH14" s="52">
        <f>'Approved Quote'!I76</f>
        <v>0</v>
      </c>
      <c r="AI14" s="52">
        <f>'Approved Quote'!B100</f>
        <v>0</v>
      </c>
      <c r="AJ14" s="52">
        <f>'Approved Quote'!D100</f>
        <v>0</v>
      </c>
      <c r="AK14" s="52">
        <f>'Approved Quote'!G100</f>
        <v>0</v>
      </c>
      <c r="AL14" s="52">
        <f>'Approved Quote'!I100</f>
        <v>0</v>
      </c>
      <c r="AM14" s="52"/>
      <c r="AN14" s="52"/>
      <c r="AO14" s="52"/>
      <c r="AP14" s="52"/>
      <c r="AQ14" s="52"/>
      <c r="AR14" s="52"/>
      <c r="AS14" s="52"/>
      <c r="AT14" s="52"/>
      <c r="AU14" s="52"/>
      <c r="AV14" s="52"/>
      <c r="AW14" s="52"/>
      <c r="AX14" s="52"/>
      <c r="AY14" s="52"/>
      <c r="AZ14" s="52"/>
      <c r="BA14" s="52"/>
      <c r="BB14" s="52"/>
    </row>
    <row r="15" spans="1:54" ht="16">
      <c r="A15" s="58">
        <f t="shared" si="4"/>
        <v>10</v>
      </c>
      <c r="B15" s="58" t="s">
        <v>284</v>
      </c>
      <c r="C15" s="57">
        <v>43617</v>
      </c>
      <c r="D15" s="58" t="s">
        <v>271</v>
      </c>
      <c r="E15" s="58" t="s">
        <v>235</v>
      </c>
      <c r="F15" s="58" t="s">
        <v>275</v>
      </c>
      <c r="G15" s="58" t="s">
        <v>276</v>
      </c>
      <c r="H15" s="58" t="s">
        <v>267</v>
      </c>
      <c r="I15" s="58"/>
      <c r="J15" s="58" t="str">
        <f t="shared" si="0"/>
        <v>AFD</v>
      </c>
      <c r="K15" s="58">
        <f t="shared" si="1"/>
        <v>5</v>
      </c>
      <c r="L15" s="59">
        <f>IF(C15="","",DATEDIF(C15,'Premium Table'!$B$6,"Y"))</f>
        <v>6</v>
      </c>
      <c r="M15" s="59" t="str">
        <f t="shared" si="5"/>
        <v>0 - 10</v>
      </c>
      <c r="N15" s="59">
        <f t="shared" si="2"/>
        <v>1</v>
      </c>
      <c r="O15" s="102">
        <f t="shared" si="6"/>
        <v>5234</v>
      </c>
      <c r="P15" s="102">
        <f t="shared" si="7"/>
        <v>46</v>
      </c>
      <c r="Q15" s="68">
        <f t="shared" si="8"/>
        <v>0</v>
      </c>
      <c r="R15" s="102">
        <f t="shared" si="3"/>
        <v>5234</v>
      </c>
      <c r="T15" s="51" t="s">
        <v>41</v>
      </c>
      <c r="U15" s="51"/>
      <c r="V15" s="127">
        <v>10</v>
      </c>
      <c r="W15" s="52">
        <f>'Approved Quote'!B29</f>
        <v>20128</v>
      </c>
      <c r="X15" s="52">
        <f>'Approved Quote'!D29</f>
        <v>23729</v>
      </c>
      <c r="Y15" s="52">
        <f>'Approved Quote'!G29</f>
        <v>20128</v>
      </c>
      <c r="Z15" s="52">
        <f>'Approved Quote'!I29</f>
        <v>23729</v>
      </c>
      <c r="AA15" s="52">
        <f>'Approved Quote'!B53</f>
        <v>0</v>
      </c>
      <c r="AB15" s="52">
        <f>'Approved Quote'!D53</f>
        <v>0</v>
      </c>
      <c r="AC15" s="52">
        <f>'Approved Quote'!G53</f>
        <v>0</v>
      </c>
      <c r="AD15" s="52">
        <f>'Approved Quote'!I53</f>
        <v>0</v>
      </c>
      <c r="AE15" s="52">
        <f>'Approved Quote'!B77</f>
        <v>0</v>
      </c>
      <c r="AF15" s="52">
        <f>'Approved Quote'!D77</f>
        <v>0</v>
      </c>
      <c r="AG15" s="52">
        <f>'Approved Quote'!G77</f>
        <v>0</v>
      </c>
      <c r="AH15" s="52">
        <f>'Approved Quote'!I77</f>
        <v>0</v>
      </c>
      <c r="AI15" s="52">
        <f>'Approved Quote'!B101</f>
        <v>0</v>
      </c>
      <c r="AJ15" s="52">
        <f>'Approved Quote'!D101</f>
        <v>0</v>
      </c>
      <c r="AK15" s="52">
        <f>'Approved Quote'!G101</f>
        <v>0</v>
      </c>
      <c r="AL15" s="52">
        <f>'Approved Quote'!I101</f>
        <v>0</v>
      </c>
      <c r="AM15" s="52"/>
      <c r="AN15" s="52"/>
      <c r="AO15" s="52"/>
      <c r="AP15" s="52"/>
      <c r="AQ15" s="52"/>
      <c r="AR15" s="52"/>
      <c r="AS15" s="52"/>
      <c r="AT15" s="52"/>
      <c r="AU15" s="52"/>
      <c r="AV15" s="52"/>
      <c r="AW15" s="52"/>
      <c r="AX15" s="52"/>
      <c r="AY15" s="52"/>
      <c r="AZ15" s="52"/>
      <c r="BA15" s="52"/>
      <c r="BB15" s="52"/>
    </row>
    <row r="16" spans="1:54" ht="16">
      <c r="A16" s="58">
        <f t="shared" si="4"/>
        <v>11</v>
      </c>
      <c r="B16" s="58" t="s">
        <v>285</v>
      </c>
      <c r="C16" s="57">
        <v>45668</v>
      </c>
      <c r="D16" s="58" t="s">
        <v>271</v>
      </c>
      <c r="E16" s="58" t="s">
        <v>235</v>
      </c>
      <c r="F16" s="58" t="s">
        <v>275</v>
      </c>
      <c r="G16" s="58" t="s">
        <v>276</v>
      </c>
      <c r="H16" s="58" t="s">
        <v>267</v>
      </c>
      <c r="I16" s="58"/>
      <c r="J16" s="58" t="str">
        <f t="shared" si="0"/>
        <v>AFD</v>
      </c>
      <c r="K16" s="58">
        <f t="shared" si="1"/>
        <v>5</v>
      </c>
      <c r="L16" s="59">
        <f>IF(C16="","",DATEDIF(C16,'Premium Table'!$B$6,"Y"))</f>
        <v>1</v>
      </c>
      <c r="M16" s="59" t="str">
        <f t="shared" si="5"/>
        <v>0 - 10</v>
      </c>
      <c r="N16" s="59">
        <f t="shared" si="2"/>
        <v>1</v>
      </c>
      <c r="O16" s="102">
        <f t="shared" si="6"/>
        <v>5234</v>
      </c>
      <c r="P16" s="102">
        <f t="shared" si="7"/>
        <v>46</v>
      </c>
      <c r="Q16" s="68">
        <f t="shared" si="8"/>
        <v>0</v>
      </c>
      <c r="R16" s="102">
        <f t="shared" si="3"/>
        <v>5234</v>
      </c>
      <c r="T16" s="51" t="s">
        <v>43</v>
      </c>
      <c r="U16" s="51"/>
      <c r="V16" s="127">
        <v>11</v>
      </c>
      <c r="W16" s="52">
        <f>'Approved Quote'!B30</f>
        <v>24628</v>
      </c>
      <c r="X16" s="52">
        <f>'Approved Quote'!D30</f>
        <v>28071</v>
      </c>
      <c r="Y16" s="52">
        <f>'Approved Quote'!G30</f>
        <v>24628</v>
      </c>
      <c r="Z16" s="52">
        <f>'Approved Quote'!I30</f>
        <v>28071</v>
      </c>
      <c r="AA16" s="52">
        <f>'Approved Quote'!B54</f>
        <v>0</v>
      </c>
      <c r="AB16" s="52">
        <f>'Approved Quote'!D54</f>
        <v>0</v>
      </c>
      <c r="AC16" s="52">
        <f>'Approved Quote'!G54</f>
        <v>0</v>
      </c>
      <c r="AD16" s="52">
        <f>'Approved Quote'!I54</f>
        <v>0</v>
      </c>
      <c r="AE16" s="52">
        <f>'Approved Quote'!B78</f>
        <v>0</v>
      </c>
      <c r="AF16" s="52">
        <f>'Approved Quote'!D78</f>
        <v>0</v>
      </c>
      <c r="AG16" s="52">
        <f>'Approved Quote'!G78</f>
        <v>0</v>
      </c>
      <c r="AH16" s="52">
        <f>'Approved Quote'!I78</f>
        <v>0</v>
      </c>
      <c r="AI16" s="52">
        <f>'Approved Quote'!B102</f>
        <v>0</v>
      </c>
      <c r="AJ16" s="52">
        <f>'Approved Quote'!D102</f>
        <v>0</v>
      </c>
      <c r="AK16" s="52">
        <f>'Approved Quote'!G102</f>
        <v>0</v>
      </c>
      <c r="AL16" s="52">
        <f>'Approved Quote'!I102</f>
        <v>0</v>
      </c>
      <c r="AM16" s="52"/>
      <c r="AN16" s="52"/>
      <c r="AO16" s="52"/>
      <c r="AP16" s="52"/>
      <c r="AQ16" s="52"/>
      <c r="AR16" s="52"/>
      <c r="AS16" s="52"/>
      <c r="AT16" s="52"/>
      <c r="AU16" s="52"/>
      <c r="AV16" s="52"/>
      <c r="AW16" s="52"/>
      <c r="AX16" s="52"/>
      <c r="AY16" s="52"/>
      <c r="AZ16" s="52"/>
      <c r="BA16" s="52"/>
      <c r="BB16" s="52"/>
    </row>
    <row r="17" spans="1:54" ht="16">
      <c r="A17" s="58">
        <f t="shared" si="4"/>
        <v>12</v>
      </c>
      <c r="B17" s="58" t="s">
        <v>286</v>
      </c>
      <c r="C17" s="57">
        <v>36726</v>
      </c>
      <c r="D17" s="58" t="s">
        <v>264</v>
      </c>
      <c r="E17" s="58" t="s">
        <v>235</v>
      </c>
      <c r="F17" s="58" t="s">
        <v>265</v>
      </c>
      <c r="G17" s="58" t="s">
        <v>276</v>
      </c>
      <c r="H17" s="58" t="s">
        <v>267</v>
      </c>
      <c r="I17" s="58"/>
      <c r="J17" s="58" t="str">
        <f t="shared" si="0"/>
        <v>AME</v>
      </c>
      <c r="K17" s="58">
        <f t="shared" si="1"/>
        <v>2</v>
      </c>
      <c r="L17" s="59">
        <f>IF(C17="","",DATEDIF(C17,'Premium Table'!$B$6,"Y"))</f>
        <v>25</v>
      </c>
      <c r="M17" s="59" t="str">
        <f t="shared" si="5"/>
        <v>18 - 25</v>
      </c>
      <c r="N17" s="59">
        <f t="shared" si="2"/>
        <v>3</v>
      </c>
      <c r="O17" s="102">
        <f t="shared" si="6"/>
        <v>5253</v>
      </c>
      <c r="P17" s="102">
        <f t="shared" si="7"/>
        <v>46</v>
      </c>
      <c r="Q17" s="68">
        <f t="shared" si="8"/>
        <v>0</v>
      </c>
      <c r="R17" s="102">
        <f t="shared" si="3"/>
        <v>5253</v>
      </c>
      <c r="T17" s="51" t="s">
        <v>45</v>
      </c>
      <c r="U17" s="51"/>
      <c r="V17" s="127">
        <v>12</v>
      </c>
      <c r="W17" s="52">
        <f>'Approved Quote'!B31</f>
        <v>43786</v>
      </c>
      <c r="X17" s="52">
        <f>'Approved Quote'!D31</f>
        <v>49985</v>
      </c>
      <c r="Y17" s="52">
        <f>'Approved Quote'!G31</f>
        <v>43786</v>
      </c>
      <c r="Z17" s="52">
        <f>'Approved Quote'!I31</f>
        <v>49985</v>
      </c>
      <c r="AA17" s="52">
        <f>'Approved Quote'!B55</f>
        <v>0</v>
      </c>
      <c r="AB17" s="52">
        <f>'Approved Quote'!D55</f>
        <v>0</v>
      </c>
      <c r="AC17" s="52">
        <f>'Approved Quote'!G55</f>
        <v>0</v>
      </c>
      <c r="AD17" s="52">
        <f>'Approved Quote'!I55</f>
        <v>0</v>
      </c>
      <c r="AE17" s="52">
        <f>'Approved Quote'!B79</f>
        <v>0</v>
      </c>
      <c r="AF17" s="52">
        <f>'Approved Quote'!D79</f>
        <v>0</v>
      </c>
      <c r="AG17" s="52">
        <f>'Approved Quote'!G79</f>
        <v>0</v>
      </c>
      <c r="AH17" s="52">
        <f>'Approved Quote'!I79</f>
        <v>0</v>
      </c>
      <c r="AI17" s="52">
        <f>'Approved Quote'!B103</f>
        <v>0</v>
      </c>
      <c r="AJ17" s="52">
        <f>'Approved Quote'!D103</f>
        <v>0</v>
      </c>
      <c r="AK17" s="52">
        <f>'Approved Quote'!G103</f>
        <v>0</v>
      </c>
      <c r="AL17" s="52">
        <f>'Approved Quote'!I103</f>
        <v>0</v>
      </c>
      <c r="AM17" s="52"/>
      <c r="AN17" s="52"/>
      <c r="AO17" s="52"/>
      <c r="AP17" s="52"/>
      <c r="AQ17" s="52"/>
      <c r="AR17" s="52"/>
      <c r="AS17" s="52"/>
      <c r="AT17" s="52"/>
      <c r="AU17" s="52"/>
      <c r="AV17" s="52"/>
      <c r="AW17" s="52"/>
      <c r="AX17" s="52"/>
      <c r="AY17" s="52"/>
      <c r="AZ17" s="52"/>
      <c r="BA17" s="52"/>
      <c r="BB17" s="52"/>
    </row>
    <row r="18" spans="1:54">
      <c r="A18" s="58">
        <f t="shared" si="4"/>
        <v>13</v>
      </c>
      <c r="B18" s="58" t="s">
        <v>287</v>
      </c>
      <c r="C18" s="57">
        <v>24165</v>
      </c>
      <c r="D18" s="58" t="s">
        <v>264</v>
      </c>
      <c r="E18" s="58" t="s">
        <v>235</v>
      </c>
      <c r="F18" s="58" t="s">
        <v>265</v>
      </c>
      <c r="G18" s="58" t="s">
        <v>266</v>
      </c>
      <c r="H18" s="58" t="s">
        <v>267</v>
      </c>
      <c r="I18" s="58"/>
      <c r="J18" s="58" t="str">
        <f t="shared" si="0"/>
        <v>AME</v>
      </c>
      <c r="K18" s="58">
        <f t="shared" si="1"/>
        <v>2</v>
      </c>
      <c r="L18" s="59">
        <f>IF(C18="","",DATEDIF(C18,'Premium Table'!$B$6,"Y"))</f>
        <v>60</v>
      </c>
      <c r="M18" s="59" t="str">
        <f t="shared" si="5"/>
        <v>60 - 64</v>
      </c>
      <c r="N18" s="59">
        <f t="shared" si="2"/>
        <v>11</v>
      </c>
      <c r="O18" s="102">
        <f t="shared" si="6"/>
        <v>24628</v>
      </c>
      <c r="P18" s="102">
        <f t="shared" si="7"/>
        <v>46</v>
      </c>
      <c r="Q18" s="68">
        <f t="shared" si="8"/>
        <v>0</v>
      </c>
      <c r="R18" s="102">
        <f t="shared" si="3"/>
        <v>24628</v>
      </c>
    </row>
    <row r="19" spans="1:54" ht="16">
      <c r="A19" s="58">
        <f t="shared" si="4"/>
        <v>14</v>
      </c>
      <c r="B19" s="58" t="s">
        <v>288</v>
      </c>
      <c r="C19" s="57">
        <v>26031</v>
      </c>
      <c r="D19" s="58" t="s">
        <v>271</v>
      </c>
      <c r="E19" s="58" t="s">
        <v>235</v>
      </c>
      <c r="F19" s="58" t="s">
        <v>272</v>
      </c>
      <c r="G19" s="58" t="s">
        <v>266</v>
      </c>
      <c r="H19" s="58" t="s">
        <v>267</v>
      </c>
      <c r="I19" s="58"/>
      <c r="J19" s="58" t="str">
        <f t="shared" si="0"/>
        <v>AFD</v>
      </c>
      <c r="K19" s="58">
        <f t="shared" si="1"/>
        <v>5</v>
      </c>
      <c r="L19" s="59">
        <f>IF(C19="","",DATEDIF(C19,'Premium Table'!$B$6,"Y"))</f>
        <v>54</v>
      </c>
      <c r="M19" s="59" t="str">
        <f t="shared" si="5"/>
        <v>51 - 55</v>
      </c>
      <c r="N19" s="59">
        <f t="shared" si="2"/>
        <v>9</v>
      </c>
      <c r="O19" s="102">
        <f t="shared" si="6"/>
        <v>19507</v>
      </c>
      <c r="P19" s="102">
        <f t="shared" si="7"/>
        <v>46</v>
      </c>
      <c r="Q19" s="68">
        <f t="shared" si="8"/>
        <v>0</v>
      </c>
      <c r="R19" s="102">
        <f t="shared" si="3"/>
        <v>19507</v>
      </c>
      <c r="V19" s="66" t="s">
        <v>235</v>
      </c>
      <c r="W19" s="65" t="s">
        <v>289</v>
      </c>
      <c r="X19" t="s">
        <v>239</v>
      </c>
      <c r="Y19" t="str">
        <f>V19&amp;W19&amp;X19</f>
        <v>AME</v>
      </c>
      <c r="Z19" s="65">
        <v>2</v>
      </c>
    </row>
    <row r="20" spans="1:54" ht="16">
      <c r="A20" s="58">
        <f t="shared" si="4"/>
        <v>15</v>
      </c>
      <c r="B20" s="58" t="s">
        <v>290</v>
      </c>
      <c r="C20" s="57">
        <v>34737</v>
      </c>
      <c r="D20" s="58" t="s">
        <v>264</v>
      </c>
      <c r="E20" s="58" t="s">
        <v>235</v>
      </c>
      <c r="F20" s="58" t="s">
        <v>265</v>
      </c>
      <c r="G20" s="58" t="s">
        <v>266</v>
      </c>
      <c r="H20" s="58" t="s">
        <v>267</v>
      </c>
      <c r="I20" s="58"/>
      <c r="J20" s="58" t="str">
        <f t="shared" si="0"/>
        <v>AME</v>
      </c>
      <c r="K20" s="58">
        <f t="shared" si="1"/>
        <v>2</v>
      </c>
      <c r="L20" s="59">
        <f>IF(C20="","",DATEDIF(C20,'Premium Table'!$B$6,"Y"))</f>
        <v>31</v>
      </c>
      <c r="M20" s="59" t="str">
        <f t="shared" si="5"/>
        <v>31 - 35</v>
      </c>
      <c r="N20" s="59">
        <f t="shared" si="2"/>
        <v>5</v>
      </c>
      <c r="O20" s="102">
        <f t="shared" si="6"/>
        <v>6915</v>
      </c>
      <c r="P20" s="102">
        <f t="shared" si="7"/>
        <v>46</v>
      </c>
      <c r="Q20" s="68">
        <f t="shared" si="8"/>
        <v>0</v>
      </c>
      <c r="R20" s="102">
        <f t="shared" si="3"/>
        <v>6915</v>
      </c>
      <c r="V20" s="66" t="s">
        <v>235</v>
      </c>
      <c r="W20" s="64" t="s">
        <v>291</v>
      </c>
      <c r="X20" t="s">
        <v>239</v>
      </c>
      <c r="Y20" t="str">
        <f t="shared" ref="Y20:Y22" si="9">V20&amp;W20&amp;X20</f>
        <v>AFE</v>
      </c>
      <c r="Z20" s="65">
        <v>3</v>
      </c>
    </row>
    <row r="21" spans="1:54" ht="16">
      <c r="A21" s="58">
        <f t="shared" si="4"/>
        <v>16</v>
      </c>
      <c r="B21" s="58" t="s">
        <v>292</v>
      </c>
      <c r="C21" s="57">
        <v>35922</v>
      </c>
      <c r="D21" s="58" t="s">
        <v>271</v>
      </c>
      <c r="E21" s="58" t="s">
        <v>235</v>
      </c>
      <c r="F21" s="58" t="s">
        <v>272</v>
      </c>
      <c r="G21" s="58" t="s">
        <v>266</v>
      </c>
      <c r="H21" s="58" t="s">
        <v>267</v>
      </c>
      <c r="I21" s="58"/>
      <c r="J21" s="58" t="str">
        <f t="shared" si="0"/>
        <v>AFD</v>
      </c>
      <c r="K21" s="58">
        <f t="shared" si="1"/>
        <v>5</v>
      </c>
      <c r="L21" s="59">
        <f>IF(C21="","",DATEDIF(C21,'Premium Table'!$B$6,"Y"))</f>
        <v>27</v>
      </c>
      <c r="M21" s="59" t="str">
        <f t="shared" si="5"/>
        <v>26 - 30</v>
      </c>
      <c r="N21" s="59">
        <f t="shared" si="2"/>
        <v>4</v>
      </c>
      <c r="O21" s="102">
        <f t="shared" si="6"/>
        <v>7304</v>
      </c>
      <c r="P21" s="102">
        <f t="shared" si="7"/>
        <v>46</v>
      </c>
      <c r="Q21" s="68">
        <f t="shared" si="8"/>
        <v>5244</v>
      </c>
      <c r="R21" s="102">
        <f t="shared" si="3"/>
        <v>12548</v>
      </c>
      <c r="V21" s="66" t="s">
        <v>235</v>
      </c>
      <c r="W21" s="65" t="s">
        <v>289</v>
      </c>
      <c r="X21" t="s">
        <v>238</v>
      </c>
      <c r="Y21" t="str">
        <f t="shared" si="9"/>
        <v>AMD</v>
      </c>
      <c r="Z21" s="65">
        <v>4</v>
      </c>
    </row>
    <row r="22" spans="1:54" ht="16">
      <c r="A22" s="58">
        <f t="shared" si="4"/>
        <v>17</v>
      </c>
      <c r="B22" s="58" t="s">
        <v>293</v>
      </c>
      <c r="C22" s="57">
        <v>35231</v>
      </c>
      <c r="D22" s="58" t="s">
        <v>264</v>
      </c>
      <c r="E22" s="58" t="s">
        <v>235</v>
      </c>
      <c r="F22" s="58" t="s">
        <v>265</v>
      </c>
      <c r="G22" s="58" t="s">
        <v>276</v>
      </c>
      <c r="H22" s="58" t="s">
        <v>267</v>
      </c>
      <c r="I22" s="58"/>
      <c r="J22" s="58" t="str">
        <f t="shared" si="0"/>
        <v>AME</v>
      </c>
      <c r="K22" s="58">
        <f t="shared" si="1"/>
        <v>2</v>
      </c>
      <c r="L22" s="59">
        <f>IF(C22="","",DATEDIF(C22,'Premium Table'!$B$6,"Y"))</f>
        <v>29</v>
      </c>
      <c r="M22" s="59" t="str">
        <f t="shared" si="5"/>
        <v>26 - 30</v>
      </c>
      <c r="N22" s="59">
        <f t="shared" si="2"/>
        <v>4</v>
      </c>
      <c r="O22" s="102">
        <f t="shared" si="6"/>
        <v>5833</v>
      </c>
      <c r="P22" s="102">
        <f t="shared" si="7"/>
        <v>46</v>
      </c>
      <c r="Q22" s="68">
        <f t="shared" si="8"/>
        <v>0</v>
      </c>
      <c r="R22" s="102">
        <f t="shared" si="3"/>
        <v>5833</v>
      </c>
      <c r="V22" s="66" t="s">
        <v>235</v>
      </c>
      <c r="W22" s="64" t="s">
        <v>291</v>
      </c>
      <c r="X22" t="s">
        <v>238</v>
      </c>
      <c r="Y22" t="str">
        <f t="shared" si="9"/>
        <v>AFD</v>
      </c>
      <c r="Z22" s="65">
        <v>5</v>
      </c>
    </row>
    <row r="23" spans="1:54" ht="16">
      <c r="A23" s="58" t="str">
        <f t="shared" si="4"/>
        <v/>
      </c>
      <c r="B23" s="58"/>
      <c r="C23" s="57"/>
      <c r="D23" s="58"/>
      <c r="E23" s="58"/>
      <c r="F23" s="58"/>
      <c r="G23" s="58"/>
      <c r="H23" s="58"/>
      <c r="I23" s="58"/>
      <c r="J23" s="58" t="str">
        <f t="shared" si="0"/>
        <v/>
      </c>
      <c r="K23" s="58" t="str">
        <f t="shared" si="1"/>
        <v/>
      </c>
      <c r="L23" s="59" t="str">
        <f>IF(C23="","",DATEDIF(C23,'Premium Table'!$B$6,"Y"))</f>
        <v/>
      </c>
      <c r="M23" s="59" t="str">
        <f t="shared" si="5"/>
        <v/>
      </c>
      <c r="N23" s="59" t="str">
        <f t="shared" si="2"/>
        <v/>
      </c>
      <c r="O23" s="102" t="str">
        <f t="shared" si="6"/>
        <v/>
      </c>
      <c r="P23" s="102" t="str">
        <f t="shared" si="7"/>
        <v/>
      </c>
      <c r="Q23" s="68">
        <f t="shared" si="8"/>
        <v>0</v>
      </c>
      <c r="R23" s="102" t="str">
        <f t="shared" si="3"/>
        <v/>
      </c>
      <c r="V23" s="67" t="s">
        <v>236</v>
      </c>
      <c r="W23" s="65" t="s">
        <v>289</v>
      </c>
      <c r="X23" t="s">
        <v>239</v>
      </c>
      <c r="Y23" t="str">
        <f>V23&amp;W23&amp;X23</f>
        <v>BME</v>
      </c>
      <c r="Z23" s="65">
        <v>6</v>
      </c>
    </row>
    <row r="24" spans="1:54" ht="16">
      <c r="A24" s="58" t="str">
        <f t="shared" si="4"/>
        <v/>
      </c>
      <c r="B24" s="58"/>
      <c r="C24" s="57"/>
      <c r="D24" s="58"/>
      <c r="E24" s="58"/>
      <c r="F24" s="58"/>
      <c r="G24" s="58"/>
      <c r="H24" s="58"/>
      <c r="I24" s="58"/>
      <c r="J24" s="58" t="str">
        <f t="shared" si="0"/>
        <v/>
      </c>
      <c r="K24" s="58" t="str">
        <f t="shared" si="1"/>
        <v/>
      </c>
      <c r="L24" s="59" t="str">
        <f>IF(C24="","",DATEDIF(C24,'Premium Table'!$B$6,"Y"))</f>
        <v/>
      </c>
      <c r="M24" s="59" t="str">
        <f t="shared" si="5"/>
        <v/>
      </c>
      <c r="N24" s="59" t="str">
        <f t="shared" si="2"/>
        <v/>
      </c>
      <c r="O24" s="102" t="str">
        <f t="shared" si="6"/>
        <v/>
      </c>
      <c r="P24" s="102" t="str">
        <f t="shared" si="7"/>
        <v/>
      </c>
      <c r="Q24" s="68">
        <f t="shared" si="8"/>
        <v>0</v>
      </c>
      <c r="R24" s="102" t="str">
        <f t="shared" si="3"/>
        <v/>
      </c>
      <c r="V24" s="67" t="s">
        <v>236</v>
      </c>
      <c r="W24" s="64" t="s">
        <v>291</v>
      </c>
      <c r="X24" t="s">
        <v>239</v>
      </c>
      <c r="Y24" t="str">
        <f t="shared" ref="Y24:Y26" si="10">V24&amp;W24&amp;X24</f>
        <v>BFE</v>
      </c>
      <c r="Z24" s="65">
        <v>7</v>
      </c>
    </row>
    <row r="25" spans="1:54" ht="16">
      <c r="A25" s="58" t="str">
        <f t="shared" si="4"/>
        <v/>
      </c>
      <c r="B25" s="58"/>
      <c r="C25" s="57"/>
      <c r="D25" s="58"/>
      <c r="E25" s="58"/>
      <c r="F25" s="58"/>
      <c r="G25" s="58"/>
      <c r="H25" s="58"/>
      <c r="I25" s="58"/>
      <c r="J25" s="58" t="str">
        <f t="shared" si="0"/>
        <v/>
      </c>
      <c r="K25" s="58" t="str">
        <f t="shared" si="1"/>
        <v/>
      </c>
      <c r="L25" s="59" t="str">
        <f>IF(C25="","",DATEDIF(C25,'Premium Table'!$B$6,"Y"))</f>
        <v/>
      </c>
      <c r="M25" s="59" t="str">
        <f t="shared" si="5"/>
        <v/>
      </c>
      <c r="N25" s="59" t="str">
        <f t="shared" si="2"/>
        <v/>
      </c>
      <c r="O25" s="102" t="str">
        <f t="shared" si="6"/>
        <v/>
      </c>
      <c r="P25" s="102" t="str">
        <f t="shared" si="7"/>
        <v/>
      </c>
      <c r="Q25" s="68">
        <f t="shared" si="8"/>
        <v>0</v>
      </c>
      <c r="R25" s="102" t="str">
        <f t="shared" si="3"/>
        <v/>
      </c>
      <c r="V25" s="67" t="s">
        <v>236</v>
      </c>
      <c r="W25" s="65" t="s">
        <v>289</v>
      </c>
      <c r="X25" t="s">
        <v>238</v>
      </c>
      <c r="Y25" t="str">
        <f t="shared" si="10"/>
        <v>BMD</v>
      </c>
      <c r="Z25" s="65">
        <v>8</v>
      </c>
    </row>
    <row r="26" spans="1:54" ht="16">
      <c r="A26" s="58" t="str">
        <f t="shared" si="4"/>
        <v/>
      </c>
      <c r="B26" s="58"/>
      <c r="C26" s="57"/>
      <c r="D26" s="58"/>
      <c r="E26" s="58"/>
      <c r="F26" s="58"/>
      <c r="G26" s="58"/>
      <c r="H26" s="58"/>
      <c r="I26" s="58"/>
      <c r="J26" s="58" t="str">
        <f t="shared" si="0"/>
        <v/>
      </c>
      <c r="K26" s="58" t="str">
        <f t="shared" si="1"/>
        <v/>
      </c>
      <c r="L26" s="59" t="str">
        <f>IF(C26="","",DATEDIF(C26,'Premium Table'!$B$6,"Y"))</f>
        <v/>
      </c>
      <c r="M26" s="59" t="str">
        <f t="shared" si="5"/>
        <v/>
      </c>
      <c r="N26" s="59" t="str">
        <f t="shared" si="2"/>
        <v/>
      </c>
      <c r="O26" s="102" t="str">
        <f t="shared" si="6"/>
        <v/>
      </c>
      <c r="P26" s="102" t="str">
        <f t="shared" si="7"/>
        <v/>
      </c>
      <c r="Q26" s="68">
        <f t="shared" si="8"/>
        <v>0</v>
      </c>
      <c r="R26" s="102" t="str">
        <f>IF(M26="","",O26+Q26)</f>
        <v/>
      </c>
      <c r="V26" s="67" t="s">
        <v>236</v>
      </c>
      <c r="W26" s="64" t="s">
        <v>291</v>
      </c>
      <c r="X26" t="s">
        <v>238</v>
      </c>
      <c r="Y26" t="str">
        <f t="shared" si="10"/>
        <v>BFD</v>
      </c>
      <c r="Z26" s="65">
        <v>9</v>
      </c>
    </row>
    <row r="27" spans="1:54" ht="16">
      <c r="A27" s="58" t="str">
        <f t="shared" si="4"/>
        <v/>
      </c>
      <c r="B27" s="58"/>
      <c r="C27" s="57"/>
      <c r="D27" s="58"/>
      <c r="E27" s="58"/>
      <c r="F27" s="58"/>
      <c r="G27" s="58"/>
      <c r="H27" s="58"/>
      <c r="I27" s="58"/>
      <c r="J27" s="58" t="str">
        <f t="shared" si="0"/>
        <v/>
      </c>
      <c r="K27" s="58" t="str">
        <f t="shared" si="1"/>
        <v/>
      </c>
      <c r="L27" s="59" t="str">
        <f>IF(C27="","",DATEDIF(C27,'Premium Table'!$B$6,"Y"))</f>
        <v/>
      </c>
      <c r="M27" s="59" t="str">
        <f t="shared" si="5"/>
        <v/>
      </c>
      <c r="N27" s="59" t="str">
        <f t="shared" si="2"/>
        <v/>
      </c>
      <c r="O27" s="102" t="str">
        <f t="shared" si="6"/>
        <v/>
      </c>
      <c r="P27" s="102" t="str">
        <f t="shared" si="7"/>
        <v/>
      </c>
      <c r="Q27" s="68">
        <f t="shared" si="8"/>
        <v>0</v>
      </c>
      <c r="R27" s="102" t="str">
        <f>IF(M27="","",O27+Q27)</f>
        <v/>
      </c>
      <c r="V27" s="66" t="s">
        <v>237</v>
      </c>
      <c r="W27" s="65" t="s">
        <v>289</v>
      </c>
      <c r="X27" t="s">
        <v>239</v>
      </c>
      <c r="Y27" t="str">
        <f>V27&amp;W27&amp;X27</f>
        <v>CME</v>
      </c>
      <c r="Z27" s="65">
        <v>10</v>
      </c>
    </row>
    <row r="28" spans="1:54" ht="16">
      <c r="A28" s="58" t="str">
        <f t="shared" si="4"/>
        <v/>
      </c>
      <c r="B28" s="58"/>
      <c r="C28" s="57"/>
      <c r="D28" s="58"/>
      <c r="E28" s="58"/>
      <c r="F28" s="58"/>
      <c r="G28" s="58"/>
      <c r="H28" s="58"/>
      <c r="I28" s="58"/>
      <c r="J28" s="58" t="str">
        <f t="shared" si="0"/>
        <v/>
      </c>
      <c r="K28" s="58" t="str">
        <f t="shared" si="1"/>
        <v/>
      </c>
      <c r="L28" s="59" t="str">
        <f>IF(C28="","",DATEDIF(C28,'Premium Table'!$B$6,"Y"))</f>
        <v/>
      </c>
      <c r="M28" s="59" t="str">
        <f t="shared" si="5"/>
        <v/>
      </c>
      <c r="N28" s="59" t="str">
        <f t="shared" si="2"/>
        <v/>
      </c>
      <c r="O28" s="102" t="str">
        <f t="shared" si="6"/>
        <v/>
      </c>
      <c r="P28" s="102" t="str">
        <f t="shared" si="7"/>
        <v/>
      </c>
      <c r="Q28" s="68">
        <f t="shared" si="8"/>
        <v>0</v>
      </c>
      <c r="R28" s="102" t="str">
        <f t="shared" si="3"/>
        <v/>
      </c>
      <c r="V28" s="66" t="s">
        <v>237</v>
      </c>
      <c r="W28" s="64" t="s">
        <v>291</v>
      </c>
      <c r="X28" t="s">
        <v>239</v>
      </c>
      <c r="Y28" t="str">
        <f t="shared" ref="Y28:Y30" si="11">V28&amp;W28&amp;X28</f>
        <v>CFE</v>
      </c>
      <c r="Z28" s="65">
        <v>11</v>
      </c>
    </row>
    <row r="29" spans="1:54" ht="16">
      <c r="A29" s="58" t="str">
        <f t="shared" si="4"/>
        <v/>
      </c>
      <c r="B29" s="58"/>
      <c r="C29" s="57"/>
      <c r="D29" s="58"/>
      <c r="E29" s="58"/>
      <c r="F29" s="58"/>
      <c r="G29" s="58"/>
      <c r="H29" s="58"/>
      <c r="I29" s="58"/>
      <c r="J29" s="58" t="str">
        <f t="shared" si="0"/>
        <v/>
      </c>
      <c r="K29" s="58" t="str">
        <f t="shared" si="1"/>
        <v/>
      </c>
      <c r="L29" s="59" t="str">
        <f>IF(C29="","",DATEDIF(C29,'Premium Table'!$B$6,"Y"))</f>
        <v/>
      </c>
      <c r="M29" s="59" t="str">
        <f t="shared" si="5"/>
        <v/>
      </c>
      <c r="N29" s="59" t="str">
        <f t="shared" si="2"/>
        <v/>
      </c>
      <c r="O29" s="102" t="str">
        <f t="shared" si="6"/>
        <v/>
      </c>
      <c r="P29" s="102" t="str">
        <f t="shared" si="7"/>
        <v/>
      </c>
      <c r="Q29" s="68">
        <f t="shared" si="8"/>
        <v>0</v>
      </c>
      <c r="R29" s="102" t="str">
        <f t="shared" si="3"/>
        <v/>
      </c>
      <c r="V29" s="66" t="s">
        <v>237</v>
      </c>
      <c r="W29" s="65" t="s">
        <v>289</v>
      </c>
      <c r="X29" t="s">
        <v>238</v>
      </c>
      <c r="Y29" t="str">
        <f t="shared" si="11"/>
        <v>CMD</v>
      </c>
      <c r="Z29" s="65">
        <v>12</v>
      </c>
    </row>
    <row r="30" spans="1:54" ht="16">
      <c r="A30" s="58" t="str">
        <f t="shared" si="4"/>
        <v/>
      </c>
      <c r="B30" s="58"/>
      <c r="C30" s="57"/>
      <c r="D30" s="58"/>
      <c r="E30" s="58"/>
      <c r="F30" s="58"/>
      <c r="G30" s="58"/>
      <c r="H30" s="58"/>
      <c r="I30" s="58"/>
      <c r="J30" s="58" t="str">
        <f t="shared" si="0"/>
        <v/>
      </c>
      <c r="K30" s="58" t="str">
        <f t="shared" si="1"/>
        <v/>
      </c>
      <c r="L30" s="59" t="str">
        <f>IF(C30="","",DATEDIF(C30,'Premium Table'!$B$6,"Y"))</f>
        <v/>
      </c>
      <c r="M30" s="59" t="str">
        <f t="shared" si="5"/>
        <v/>
      </c>
      <c r="N30" s="59" t="str">
        <f t="shared" si="2"/>
        <v/>
      </c>
      <c r="O30" s="102" t="str">
        <f t="shared" si="6"/>
        <v/>
      </c>
      <c r="P30" s="102" t="str">
        <f t="shared" si="7"/>
        <v/>
      </c>
      <c r="Q30" s="68">
        <f t="shared" si="8"/>
        <v>0</v>
      </c>
      <c r="R30" s="102" t="str">
        <f t="shared" si="3"/>
        <v/>
      </c>
      <c r="V30" s="66" t="s">
        <v>237</v>
      </c>
      <c r="W30" s="64" t="s">
        <v>291</v>
      </c>
      <c r="X30" t="s">
        <v>238</v>
      </c>
      <c r="Y30" t="str">
        <f t="shared" si="11"/>
        <v>CFD</v>
      </c>
      <c r="Z30" s="65">
        <v>13</v>
      </c>
    </row>
    <row r="31" spans="1:54" ht="16">
      <c r="A31" s="58" t="str">
        <f t="shared" si="4"/>
        <v/>
      </c>
      <c r="B31" s="58"/>
      <c r="C31" s="57"/>
      <c r="D31" s="58"/>
      <c r="E31" s="58"/>
      <c r="F31" s="58"/>
      <c r="G31" s="58"/>
      <c r="H31" s="58"/>
      <c r="I31" s="58"/>
      <c r="J31" s="58" t="str">
        <f t="shared" si="0"/>
        <v/>
      </c>
      <c r="K31" s="58" t="str">
        <f t="shared" si="1"/>
        <v/>
      </c>
      <c r="L31" s="59" t="str">
        <f>IF(C31="","",DATEDIF(C31,'Premium Table'!$B$6,"Y"))</f>
        <v/>
      </c>
      <c r="M31" s="59" t="str">
        <f t="shared" si="5"/>
        <v/>
      </c>
      <c r="N31" s="59" t="str">
        <f t="shared" si="2"/>
        <v/>
      </c>
      <c r="O31" s="102" t="str">
        <f t="shared" si="6"/>
        <v/>
      </c>
      <c r="P31" s="102" t="str">
        <f t="shared" si="7"/>
        <v/>
      </c>
      <c r="Q31" s="68">
        <f t="shared" si="8"/>
        <v>0</v>
      </c>
      <c r="R31" s="102" t="str">
        <f t="shared" si="3"/>
        <v/>
      </c>
      <c r="V31" s="67" t="s">
        <v>238</v>
      </c>
      <c r="W31" s="65" t="s">
        <v>289</v>
      </c>
      <c r="X31" t="s">
        <v>239</v>
      </c>
      <c r="Y31" t="str">
        <f>V31&amp;W31&amp;X31</f>
        <v>DME</v>
      </c>
      <c r="Z31" s="65">
        <v>14</v>
      </c>
    </row>
    <row r="32" spans="1:54" ht="16">
      <c r="A32" s="58" t="str">
        <f t="shared" si="4"/>
        <v/>
      </c>
      <c r="B32" s="58"/>
      <c r="C32" s="57"/>
      <c r="D32" s="58"/>
      <c r="E32" s="58"/>
      <c r="F32" s="58"/>
      <c r="G32" s="58"/>
      <c r="H32" s="58"/>
      <c r="I32" s="58"/>
      <c r="J32" s="58" t="str">
        <f t="shared" si="0"/>
        <v/>
      </c>
      <c r="K32" s="58" t="str">
        <f t="shared" si="1"/>
        <v/>
      </c>
      <c r="L32" s="59" t="str">
        <f>IF(C32="","",DATEDIF(C32,'Premium Table'!$B$6,"Y"))</f>
        <v/>
      </c>
      <c r="M32" s="59" t="str">
        <f t="shared" si="5"/>
        <v/>
      </c>
      <c r="N32" s="59" t="str">
        <f t="shared" si="2"/>
        <v/>
      </c>
      <c r="O32" s="102" t="str">
        <f t="shared" si="6"/>
        <v/>
      </c>
      <c r="P32" s="102" t="str">
        <f t="shared" si="7"/>
        <v/>
      </c>
      <c r="Q32" s="68">
        <f t="shared" si="8"/>
        <v>0</v>
      </c>
      <c r="R32" s="102" t="str">
        <f t="shared" si="3"/>
        <v/>
      </c>
      <c r="V32" s="67" t="s">
        <v>238</v>
      </c>
      <c r="W32" s="64" t="s">
        <v>291</v>
      </c>
      <c r="X32" t="s">
        <v>239</v>
      </c>
      <c r="Y32" t="str">
        <f t="shared" ref="Y32:Y34" si="12">V32&amp;W32&amp;X32</f>
        <v>DFE</v>
      </c>
      <c r="Z32" s="65">
        <v>15</v>
      </c>
    </row>
    <row r="33" spans="1:26" ht="16">
      <c r="A33" s="58" t="str">
        <f t="shared" si="4"/>
        <v/>
      </c>
      <c r="B33" s="58"/>
      <c r="C33" s="57"/>
      <c r="D33" s="58"/>
      <c r="E33" s="58"/>
      <c r="F33" s="58"/>
      <c r="G33" s="58"/>
      <c r="H33" s="58"/>
      <c r="I33" s="58"/>
      <c r="J33" s="58" t="str">
        <f t="shared" si="0"/>
        <v/>
      </c>
      <c r="K33" s="58" t="str">
        <f t="shared" si="1"/>
        <v/>
      </c>
      <c r="L33" s="59" t="str">
        <f>IF(C33="","",DATEDIF(C33,'Premium Table'!$B$6,"Y"))</f>
        <v/>
      </c>
      <c r="M33" s="59" t="str">
        <f t="shared" si="5"/>
        <v/>
      </c>
      <c r="N33" s="59" t="str">
        <f t="shared" si="2"/>
        <v/>
      </c>
      <c r="O33" s="102" t="str">
        <f t="shared" si="6"/>
        <v/>
      </c>
      <c r="P33" s="102" t="str">
        <f t="shared" si="7"/>
        <v/>
      </c>
      <c r="Q33" s="68">
        <f t="shared" si="8"/>
        <v>0</v>
      </c>
      <c r="R33" s="102" t="str">
        <f t="shared" si="3"/>
        <v/>
      </c>
      <c r="V33" s="67" t="s">
        <v>238</v>
      </c>
      <c r="W33" s="65" t="s">
        <v>289</v>
      </c>
      <c r="X33" t="s">
        <v>238</v>
      </c>
      <c r="Y33" t="str">
        <f t="shared" si="12"/>
        <v>DMD</v>
      </c>
      <c r="Z33" s="65">
        <v>16</v>
      </c>
    </row>
    <row r="34" spans="1:26" ht="16">
      <c r="A34" s="58" t="str">
        <f t="shared" si="4"/>
        <v/>
      </c>
      <c r="B34" s="58"/>
      <c r="C34" s="57"/>
      <c r="D34" s="58"/>
      <c r="E34" s="58"/>
      <c r="F34" s="58"/>
      <c r="G34" s="58"/>
      <c r="H34" s="58"/>
      <c r="I34" s="58"/>
      <c r="J34" s="58" t="str">
        <f t="shared" si="0"/>
        <v/>
      </c>
      <c r="K34" s="58" t="str">
        <f t="shared" si="1"/>
        <v/>
      </c>
      <c r="L34" s="59" t="str">
        <f>IF(C34="","",DATEDIF(C34,'Premium Table'!$B$6,"Y"))</f>
        <v/>
      </c>
      <c r="M34" s="59" t="str">
        <f t="shared" si="5"/>
        <v/>
      </c>
      <c r="N34" s="59" t="str">
        <f t="shared" si="2"/>
        <v/>
      </c>
      <c r="O34" s="102" t="str">
        <f t="shared" si="6"/>
        <v/>
      </c>
      <c r="P34" s="102" t="str">
        <f t="shared" si="7"/>
        <v/>
      </c>
      <c r="Q34" s="68">
        <f t="shared" si="8"/>
        <v>0</v>
      </c>
      <c r="R34" s="102" t="str">
        <f t="shared" si="3"/>
        <v/>
      </c>
      <c r="V34" s="67" t="s">
        <v>238</v>
      </c>
      <c r="W34" s="64" t="s">
        <v>291</v>
      </c>
      <c r="X34" t="s">
        <v>238</v>
      </c>
      <c r="Y34" t="str">
        <f t="shared" si="12"/>
        <v>DFD</v>
      </c>
      <c r="Z34" s="65">
        <v>17</v>
      </c>
    </row>
    <row r="35" spans="1:26" ht="16">
      <c r="A35" s="58" t="str">
        <f t="shared" si="4"/>
        <v/>
      </c>
      <c r="B35" s="58"/>
      <c r="C35" s="57"/>
      <c r="D35" s="58"/>
      <c r="E35" s="58"/>
      <c r="F35" s="58"/>
      <c r="G35" s="58"/>
      <c r="H35" s="58"/>
      <c r="I35" s="58"/>
      <c r="J35" s="58" t="str">
        <f t="shared" si="0"/>
        <v/>
      </c>
      <c r="K35" s="58" t="str">
        <f t="shared" si="1"/>
        <v/>
      </c>
      <c r="L35" s="59" t="str">
        <f>IF(C35="","",DATEDIF(C35,'Premium Table'!$B$6,"Y"))</f>
        <v/>
      </c>
      <c r="M35" s="59" t="str">
        <f t="shared" si="5"/>
        <v/>
      </c>
      <c r="N35" s="59" t="str">
        <f t="shared" si="2"/>
        <v/>
      </c>
      <c r="O35" s="102" t="str">
        <f t="shared" si="6"/>
        <v/>
      </c>
      <c r="P35" s="102" t="str">
        <f t="shared" si="7"/>
        <v/>
      </c>
      <c r="Q35" s="68">
        <f t="shared" si="8"/>
        <v>0</v>
      </c>
      <c r="R35" s="102" t="str">
        <f t="shared" si="3"/>
        <v/>
      </c>
      <c r="V35" s="66" t="s">
        <v>239</v>
      </c>
      <c r="W35" s="65" t="s">
        <v>289</v>
      </c>
      <c r="X35" t="s">
        <v>239</v>
      </c>
      <c r="Y35" t="str">
        <f>V35&amp;W35&amp;X35</f>
        <v>EME</v>
      </c>
      <c r="Z35" s="65">
        <v>18</v>
      </c>
    </row>
    <row r="36" spans="1:26" ht="16">
      <c r="A36" s="58" t="str">
        <f t="shared" si="4"/>
        <v/>
      </c>
      <c r="B36" s="58"/>
      <c r="C36" s="57"/>
      <c r="D36" s="58"/>
      <c r="E36" s="58"/>
      <c r="F36" s="58"/>
      <c r="G36" s="58"/>
      <c r="H36" s="58"/>
      <c r="I36" s="58"/>
      <c r="J36" s="58" t="str">
        <f t="shared" si="0"/>
        <v/>
      </c>
      <c r="K36" s="58" t="str">
        <f t="shared" si="1"/>
        <v/>
      </c>
      <c r="L36" s="59" t="str">
        <f>IF(C36="","",DATEDIF(C36,'Premium Table'!$B$6,"Y"))</f>
        <v/>
      </c>
      <c r="M36" s="59" t="str">
        <f t="shared" si="5"/>
        <v/>
      </c>
      <c r="N36" s="59" t="str">
        <f t="shared" si="2"/>
        <v/>
      </c>
      <c r="O36" s="102" t="str">
        <f t="shared" si="6"/>
        <v/>
      </c>
      <c r="P36" s="102" t="str">
        <f t="shared" si="7"/>
        <v/>
      </c>
      <c r="Q36" s="68">
        <f t="shared" si="8"/>
        <v>0</v>
      </c>
      <c r="R36" s="102" t="str">
        <f t="shared" si="3"/>
        <v/>
      </c>
      <c r="V36" s="66" t="s">
        <v>239</v>
      </c>
      <c r="W36" s="64" t="s">
        <v>291</v>
      </c>
      <c r="X36" t="s">
        <v>239</v>
      </c>
      <c r="Y36" t="str">
        <f t="shared" ref="Y36:Y38" si="13">V36&amp;W36&amp;X36</f>
        <v>EFE</v>
      </c>
      <c r="Z36" s="65">
        <v>19</v>
      </c>
    </row>
    <row r="37" spans="1:26" ht="16">
      <c r="A37" s="58" t="str">
        <f t="shared" si="4"/>
        <v/>
      </c>
      <c r="B37" s="58"/>
      <c r="C37" s="57"/>
      <c r="D37" s="58"/>
      <c r="E37" s="58"/>
      <c r="F37" s="58"/>
      <c r="G37" s="58"/>
      <c r="H37" s="58"/>
      <c r="I37" s="58"/>
      <c r="J37" s="58" t="str">
        <f t="shared" si="0"/>
        <v/>
      </c>
      <c r="K37" s="58" t="str">
        <f t="shared" si="1"/>
        <v/>
      </c>
      <c r="L37" s="59" t="str">
        <f>IF(C37="","",DATEDIF(C37,'Premium Table'!$B$6,"Y"))</f>
        <v/>
      </c>
      <c r="M37" s="59" t="str">
        <f t="shared" si="5"/>
        <v/>
      </c>
      <c r="N37" s="59" t="str">
        <f t="shared" si="2"/>
        <v/>
      </c>
      <c r="O37" s="102" t="str">
        <f t="shared" si="6"/>
        <v/>
      </c>
      <c r="P37" s="102" t="str">
        <f t="shared" si="7"/>
        <v/>
      </c>
      <c r="Q37" s="68">
        <f t="shared" si="8"/>
        <v>0</v>
      </c>
      <c r="R37" s="102" t="str">
        <f t="shared" si="3"/>
        <v/>
      </c>
      <c r="V37" s="66" t="s">
        <v>239</v>
      </c>
      <c r="W37" s="65" t="s">
        <v>289</v>
      </c>
      <c r="X37" t="s">
        <v>238</v>
      </c>
      <c r="Y37" t="str">
        <f t="shared" si="13"/>
        <v>EMD</v>
      </c>
      <c r="Z37" s="65">
        <v>20</v>
      </c>
    </row>
    <row r="38" spans="1:26" ht="16">
      <c r="A38" s="58" t="str">
        <f t="shared" si="4"/>
        <v/>
      </c>
      <c r="B38" s="58"/>
      <c r="C38" s="57"/>
      <c r="D38" s="58"/>
      <c r="E38" s="58"/>
      <c r="F38" s="58"/>
      <c r="G38" s="58"/>
      <c r="H38" s="58"/>
      <c r="I38" s="58"/>
      <c r="J38" s="58" t="str">
        <f t="shared" si="0"/>
        <v/>
      </c>
      <c r="K38" s="58" t="str">
        <f t="shared" si="1"/>
        <v/>
      </c>
      <c r="L38" s="59" t="str">
        <f>IF(C38="","",DATEDIF(C38,'Premium Table'!$B$6,"Y"))</f>
        <v/>
      </c>
      <c r="M38" s="59" t="str">
        <f t="shared" si="5"/>
        <v/>
      </c>
      <c r="N38" s="59" t="str">
        <f t="shared" si="2"/>
        <v/>
      </c>
      <c r="O38" s="102" t="str">
        <f t="shared" si="6"/>
        <v/>
      </c>
      <c r="P38" s="102" t="str">
        <f t="shared" si="7"/>
        <v/>
      </c>
      <c r="Q38" s="68">
        <f t="shared" si="8"/>
        <v>0</v>
      </c>
      <c r="R38" s="102" t="str">
        <f t="shared" si="3"/>
        <v/>
      </c>
      <c r="V38" s="66" t="s">
        <v>239</v>
      </c>
      <c r="W38" s="64" t="s">
        <v>291</v>
      </c>
      <c r="X38" t="s">
        <v>238</v>
      </c>
      <c r="Y38" t="str">
        <f t="shared" si="13"/>
        <v>EFD</v>
      </c>
      <c r="Z38" s="65">
        <v>21</v>
      </c>
    </row>
    <row r="39" spans="1:26" ht="16">
      <c r="A39" s="58" t="str">
        <f t="shared" si="4"/>
        <v/>
      </c>
      <c r="B39" s="58"/>
      <c r="C39" s="57"/>
      <c r="D39" s="58"/>
      <c r="E39" s="58"/>
      <c r="F39" s="58"/>
      <c r="G39" s="58"/>
      <c r="H39" s="58"/>
      <c r="I39" s="58"/>
      <c r="J39" s="58" t="str">
        <f t="shared" si="0"/>
        <v/>
      </c>
      <c r="K39" s="58" t="str">
        <f t="shared" si="1"/>
        <v/>
      </c>
      <c r="L39" s="59" t="str">
        <f>IF(C39="","",DATEDIF(C39,'Premium Table'!$B$6,"Y"))</f>
        <v/>
      </c>
      <c r="M39" s="59" t="str">
        <f t="shared" si="5"/>
        <v/>
      </c>
      <c r="N39" s="59" t="str">
        <f t="shared" si="2"/>
        <v/>
      </c>
      <c r="O39" s="102" t="str">
        <f t="shared" si="6"/>
        <v/>
      </c>
      <c r="P39" s="102" t="str">
        <f t="shared" si="7"/>
        <v/>
      </c>
      <c r="Q39" s="68">
        <f t="shared" si="8"/>
        <v>0</v>
      </c>
      <c r="R39" s="102" t="str">
        <f t="shared" si="3"/>
        <v/>
      </c>
      <c r="V39" s="67" t="s">
        <v>291</v>
      </c>
      <c r="W39" s="65" t="s">
        <v>289</v>
      </c>
      <c r="X39" t="s">
        <v>239</v>
      </c>
      <c r="Y39" t="str">
        <f>V39&amp;W39&amp;X39</f>
        <v>FME</v>
      </c>
      <c r="Z39" s="65">
        <v>22</v>
      </c>
    </row>
    <row r="40" spans="1:26" ht="16">
      <c r="A40" s="58" t="str">
        <f t="shared" si="4"/>
        <v/>
      </c>
      <c r="B40" s="58"/>
      <c r="C40" s="57"/>
      <c r="D40" s="58"/>
      <c r="E40" s="58"/>
      <c r="F40" s="58"/>
      <c r="G40" s="58"/>
      <c r="H40" s="58"/>
      <c r="I40" s="58"/>
      <c r="J40" s="58" t="str">
        <f t="shared" si="0"/>
        <v/>
      </c>
      <c r="K40" s="58" t="str">
        <f t="shared" si="1"/>
        <v/>
      </c>
      <c r="L40" s="59" t="str">
        <f>IF(C40="","",DATEDIF(C40,'Premium Table'!$B$6,"Y"))</f>
        <v/>
      </c>
      <c r="M40" s="59" t="str">
        <f t="shared" si="5"/>
        <v/>
      </c>
      <c r="N40" s="59" t="str">
        <f t="shared" si="2"/>
        <v/>
      </c>
      <c r="O40" s="102" t="str">
        <f t="shared" si="6"/>
        <v/>
      </c>
      <c r="P40" s="102" t="str">
        <f t="shared" si="7"/>
        <v/>
      </c>
      <c r="Q40" s="68">
        <f t="shared" si="8"/>
        <v>0</v>
      </c>
      <c r="R40" s="102" t="str">
        <f t="shared" si="3"/>
        <v/>
      </c>
      <c r="V40" s="67" t="s">
        <v>291</v>
      </c>
      <c r="W40" s="64" t="s">
        <v>291</v>
      </c>
      <c r="X40" t="s">
        <v>239</v>
      </c>
      <c r="Y40" t="str">
        <f t="shared" ref="Y40:Y42" si="14">V40&amp;W40&amp;X40</f>
        <v>FFE</v>
      </c>
      <c r="Z40" s="65">
        <v>23</v>
      </c>
    </row>
    <row r="41" spans="1:26" ht="16">
      <c r="A41" s="58" t="str">
        <f t="shared" si="4"/>
        <v/>
      </c>
      <c r="B41" s="58"/>
      <c r="C41" s="57"/>
      <c r="D41" s="58"/>
      <c r="E41" s="58"/>
      <c r="F41" s="58"/>
      <c r="G41" s="58"/>
      <c r="H41" s="58"/>
      <c r="I41" s="58"/>
      <c r="J41" s="58" t="str">
        <f t="shared" si="0"/>
        <v/>
      </c>
      <c r="K41" s="58" t="str">
        <f t="shared" si="1"/>
        <v/>
      </c>
      <c r="L41" s="59" t="str">
        <f>IF(C41="","",DATEDIF(C41,'Premium Table'!$B$6,"Y"))</f>
        <v/>
      </c>
      <c r="M41" s="59" t="str">
        <f t="shared" si="5"/>
        <v/>
      </c>
      <c r="N41" s="59" t="str">
        <f t="shared" si="2"/>
        <v/>
      </c>
      <c r="O41" s="102" t="str">
        <f t="shared" si="6"/>
        <v/>
      </c>
      <c r="P41" s="102" t="str">
        <f t="shared" si="7"/>
        <v/>
      </c>
      <c r="Q41" s="68">
        <f t="shared" si="8"/>
        <v>0</v>
      </c>
      <c r="R41" s="102" t="str">
        <f t="shared" si="3"/>
        <v/>
      </c>
      <c r="V41" s="67" t="s">
        <v>291</v>
      </c>
      <c r="W41" s="65" t="s">
        <v>289</v>
      </c>
      <c r="X41" t="s">
        <v>238</v>
      </c>
      <c r="Y41" t="str">
        <f t="shared" si="14"/>
        <v>FMD</v>
      </c>
      <c r="Z41" s="65">
        <v>24</v>
      </c>
    </row>
    <row r="42" spans="1:26" ht="16">
      <c r="A42" s="58" t="str">
        <f t="shared" si="4"/>
        <v/>
      </c>
      <c r="B42" s="58"/>
      <c r="C42" s="57"/>
      <c r="D42" s="58"/>
      <c r="E42" s="58"/>
      <c r="F42" s="58"/>
      <c r="G42" s="58"/>
      <c r="H42" s="58"/>
      <c r="I42" s="58"/>
      <c r="J42" s="58" t="str">
        <f t="shared" si="0"/>
        <v/>
      </c>
      <c r="K42" s="58" t="str">
        <f t="shared" si="1"/>
        <v/>
      </c>
      <c r="L42" s="59" t="str">
        <f>IF(C42="","",DATEDIF(C42,'Premium Table'!$B$6,"Y"))</f>
        <v/>
      </c>
      <c r="M42" s="59" t="str">
        <f t="shared" si="5"/>
        <v/>
      </c>
      <c r="N42" s="59" t="str">
        <f t="shared" si="2"/>
        <v/>
      </c>
      <c r="O42" s="102" t="str">
        <f t="shared" si="6"/>
        <v/>
      </c>
      <c r="P42" s="102" t="str">
        <f t="shared" si="7"/>
        <v/>
      </c>
      <c r="Q42" s="68">
        <f t="shared" si="8"/>
        <v>0</v>
      </c>
      <c r="R42" s="102" t="str">
        <f t="shared" si="3"/>
        <v/>
      </c>
      <c r="V42" s="67" t="s">
        <v>291</v>
      </c>
      <c r="W42" s="64" t="s">
        <v>291</v>
      </c>
      <c r="X42" t="s">
        <v>238</v>
      </c>
      <c r="Y42" t="str">
        <f t="shared" si="14"/>
        <v>FFD</v>
      </c>
      <c r="Z42" s="65">
        <v>25</v>
      </c>
    </row>
    <row r="43" spans="1:26" ht="16">
      <c r="A43" s="58" t="str">
        <f t="shared" si="4"/>
        <v/>
      </c>
      <c r="B43" s="58"/>
      <c r="C43" s="57"/>
      <c r="D43" s="58"/>
      <c r="E43" s="58"/>
      <c r="F43" s="58"/>
      <c r="G43" s="58"/>
      <c r="H43" s="58"/>
      <c r="I43" s="58"/>
      <c r="J43" s="58" t="str">
        <f t="shared" si="0"/>
        <v/>
      </c>
      <c r="K43" s="58" t="str">
        <f t="shared" si="1"/>
        <v/>
      </c>
      <c r="L43" s="59" t="str">
        <f>IF(C43="","",DATEDIF(C43,'Premium Table'!$B$6,"Y"))</f>
        <v/>
      </c>
      <c r="M43" s="59" t="str">
        <f t="shared" si="5"/>
        <v/>
      </c>
      <c r="N43" s="59" t="str">
        <f t="shared" si="2"/>
        <v/>
      </c>
      <c r="O43" s="102" t="str">
        <f t="shared" si="6"/>
        <v/>
      </c>
      <c r="P43" s="102" t="str">
        <f t="shared" si="7"/>
        <v/>
      </c>
      <c r="Q43" s="68">
        <f t="shared" si="8"/>
        <v>0</v>
      </c>
      <c r="R43" s="102" t="str">
        <f t="shared" si="3"/>
        <v/>
      </c>
      <c r="V43" s="66" t="s">
        <v>294</v>
      </c>
      <c r="W43" s="65" t="s">
        <v>289</v>
      </c>
      <c r="X43" t="s">
        <v>239</v>
      </c>
      <c r="Y43" t="str">
        <f>V43&amp;W43&amp;X43</f>
        <v>GME</v>
      </c>
      <c r="Z43" s="65">
        <v>26</v>
      </c>
    </row>
    <row r="44" spans="1:26" ht="16">
      <c r="A44" s="58" t="str">
        <f t="shared" si="4"/>
        <v/>
      </c>
      <c r="B44" s="58"/>
      <c r="C44" s="57"/>
      <c r="D44" s="58"/>
      <c r="E44" s="58"/>
      <c r="F44" s="58"/>
      <c r="G44" s="58"/>
      <c r="H44" s="58"/>
      <c r="I44" s="58"/>
      <c r="J44" s="58" t="str">
        <f t="shared" si="0"/>
        <v/>
      </c>
      <c r="K44" s="58" t="str">
        <f t="shared" si="1"/>
        <v/>
      </c>
      <c r="L44" s="59" t="str">
        <f>IF(C44="","",DATEDIF(C44,'Premium Table'!$B$6,"Y"))</f>
        <v/>
      </c>
      <c r="M44" s="59" t="str">
        <f t="shared" si="5"/>
        <v/>
      </c>
      <c r="N44" s="59" t="str">
        <f t="shared" si="2"/>
        <v/>
      </c>
      <c r="O44" s="102" t="str">
        <f t="shared" si="6"/>
        <v/>
      </c>
      <c r="P44" s="102" t="str">
        <f t="shared" si="7"/>
        <v/>
      </c>
      <c r="Q44" s="68">
        <f t="shared" si="8"/>
        <v>0</v>
      </c>
      <c r="R44" s="102" t="str">
        <f t="shared" si="3"/>
        <v/>
      </c>
      <c r="V44" s="66" t="s">
        <v>294</v>
      </c>
      <c r="W44" s="64" t="s">
        <v>291</v>
      </c>
      <c r="X44" t="s">
        <v>239</v>
      </c>
      <c r="Y44" t="str">
        <f t="shared" ref="Y44:Y46" si="15">V44&amp;W44&amp;X44</f>
        <v>GFE</v>
      </c>
      <c r="Z44" s="65">
        <v>27</v>
      </c>
    </row>
    <row r="45" spans="1:26" ht="16">
      <c r="A45" s="58" t="str">
        <f t="shared" si="4"/>
        <v/>
      </c>
      <c r="B45" s="58"/>
      <c r="C45" s="57"/>
      <c r="D45" s="58"/>
      <c r="E45" s="58"/>
      <c r="F45" s="58"/>
      <c r="G45" s="58"/>
      <c r="H45" s="58"/>
      <c r="I45" s="58"/>
      <c r="J45" s="58" t="str">
        <f t="shared" si="0"/>
        <v/>
      </c>
      <c r="K45" s="58" t="str">
        <f t="shared" si="1"/>
        <v/>
      </c>
      <c r="L45" s="59" t="str">
        <f>IF(C45="","",DATEDIF(C45,'Premium Table'!$B$6,"Y"))</f>
        <v/>
      </c>
      <c r="M45" s="59" t="str">
        <f t="shared" si="5"/>
        <v/>
      </c>
      <c r="N45" s="59" t="str">
        <f t="shared" si="2"/>
        <v/>
      </c>
      <c r="O45" s="102" t="str">
        <f t="shared" si="6"/>
        <v/>
      </c>
      <c r="P45" s="102" t="str">
        <f t="shared" si="7"/>
        <v/>
      </c>
      <c r="Q45" s="68">
        <f t="shared" si="8"/>
        <v>0</v>
      </c>
      <c r="R45" s="102" t="str">
        <f>IF(M45="","",O45+Q45)</f>
        <v/>
      </c>
      <c r="V45" s="66" t="s">
        <v>294</v>
      </c>
      <c r="W45" s="65" t="s">
        <v>289</v>
      </c>
      <c r="X45" t="s">
        <v>238</v>
      </c>
      <c r="Y45" t="str">
        <f t="shared" si="15"/>
        <v>GMD</v>
      </c>
      <c r="Z45" s="65">
        <v>28</v>
      </c>
    </row>
    <row r="46" spans="1:26" ht="16">
      <c r="A46" s="58" t="str">
        <f t="shared" si="4"/>
        <v/>
      </c>
      <c r="B46" s="58"/>
      <c r="C46" s="57"/>
      <c r="D46" s="58"/>
      <c r="E46" s="58"/>
      <c r="F46" s="58"/>
      <c r="G46" s="58"/>
      <c r="H46" s="58"/>
      <c r="I46" s="58"/>
      <c r="J46" s="58" t="str">
        <f t="shared" si="0"/>
        <v/>
      </c>
      <c r="K46" s="58" t="str">
        <f t="shared" si="1"/>
        <v/>
      </c>
      <c r="L46" s="59" t="str">
        <f>IF(C46="","",DATEDIF(C46,'Premium Table'!$B$6,"Y"))</f>
        <v/>
      </c>
      <c r="M46" s="59" t="str">
        <f t="shared" si="5"/>
        <v/>
      </c>
      <c r="N46" s="59" t="str">
        <f t="shared" si="2"/>
        <v/>
      </c>
      <c r="O46" s="102" t="str">
        <f t="shared" si="6"/>
        <v/>
      </c>
      <c r="P46" s="102" t="str">
        <f t="shared" si="7"/>
        <v/>
      </c>
      <c r="Q46" s="68">
        <f t="shared" si="8"/>
        <v>0</v>
      </c>
      <c r="R46" s="102" t="str">
        <f t="shared" si="3"/>
        <v/>
      </c>
      <c r="V46" s="66" t="s">
        <v>294</v>
      </c>
      <c r="W46" s="64" t="s">
        <v>291</v>
      </c>
      <c r="X46" t="s">
        <v>238</v>
      </c>
      <c r="Y46" t="str">
        <f t="shared" si="15"/>
        <v>GFD</v>
      </c>
      <c r="Z46" s="65">
        <v>29</v>
      </c>
    </row>
    <row r="47" spans="1:26" ht="16">
      <c r="A47" s="58" t="str">
        <f t="shared" si="4"/>
        <v/>
      </c>
      <c r="B47" s="58"/>
      <c r="C47" s="57"/>
      <c r="D47" s="58"/>
      <c r="E47" s="58"/>
      <c r="F47" s="58"/>
      <c r="G47" s="58"/>
      <c r="H47" s="58"/>
      <c r="I47" s="58"/>
      <c r="J47" s="58" t="str">
        <f t="shared" si="0"/>
        <v/>
      </c>
      <c r="K47" s="58" t="str">
        <f t="shared" si="1"/>
        <v/>
      </c>
      <c r="L47" s="59" t="str">
        <f>IF(C47="","",DATEDIF(C47,'Premium Table'!$B$6,"Y"))</f>
        <v/>
      </c>
      <c r="M47" s="59" t="str">
        <f t="shared" si="5"/>
        <v/>
      </c>
      <c r="N47" s="59" t="str">
        <f t="shared" si="2"/>
        <v/>
      </c>
      <c r="O47" s="102" t="str">
        <f t="shared" si="6"/>
        <v/>
      </c>
      <c r="P47" s="102" t="str">
        <f t="shared" si="7"/>
        <v/>
      </c>
      <c r="Q47" s="68">
        <f t="shared" si="8"/>
        <v>0</v>
      </c>
      <c r="R47" s="102" t="str">
        <f t="shared" si="3"/>
        <v/>
      </c>
      <c r="V47" s="67" t="s">
        <v>295</v>
      </c>
      <c r="W47" s="65" t="s">
        <v>289</v>
      </c>
      <c r="X47" t="s">
        <v>239</v>
      </c>
      <c r="Y47" t="str">
        <f>V47&amp;W47&amp;X47</f>
        <v>HME</v>
      </c>
      <c r="Z47" s="65">
        <v>30</v>
      </c>
    </row>
    <row r="48" spans="1:26" ht="16">
      <c r="A48" s="58" t="str">
        <f t="shared" si="4"/>
        <v/>
      </c>
      <c r="B48" s="58"/>
      <c r="C48" s="57"/>
      <c r="D48" s="58"/>
      <c r="E48" s="58"/>
      <c r="F48" s="58"/>
      <c r="G48" s="58"/>
      <c r="H48" s="58"/>
      <c r="I48" s="58"/>
      <c r="J48" s="58" t="str">
        <f t="shared" si="0"/>
        <v/>
      </c>
      <c r="K48" s="58" t="str">
        <f t="shared" si="1"/>
        <v/>
      </c>
      <c r="L48" s="59" t="str">
        <f>IF(C48="","",DATEDIF(C48,'Premium Table'!$B$6,"Y"))</f>
        <v/>
      </c>
      <c r="M48" s="59" t="str">
        <f t="shared" si="5"/>
        <v/>
      </c>
      <c r="N48" s="59" t="str">
        <f t="shared" si="2"/>
        <v/>
      </c>
      <c r="O48" s="102" t="str">
        <f t="shared" si="6"/>
        <v/>
      </c>
      <c r="P48" s="102" t="str">
        <f t="shared" si="7"/>
        <v/>
      </c>
      <c r="Q48" s="68">
        <f t="shared" si="8"/>
        <v>0</v>
      </c>
      <c r="R48" s="102" t="str">
        <f t="shared" si="3"/>
        <v/>
      </c>
      <c r="V48" s="67" t="s">
        <v>295</v>
      </c>
      <c r="W48" s="64" t="s">
        <v>291</v>
      </c>
      <c r="X48" t="s">
        <v>239</v>
      </c>
      <c r="Y48" t="str">
        <f t="shared" ref="Y48:Y50" si="16">V48&amp;W48&amp;X48</f>
        <v>HFE</v>
      </c>
      <c r="Z48" s="65">
        <v>31</v>
      </c>
    </row>
    <row r="49" spans="1:26" ht="16">
      <c r="A49" s="58" t="str">
        <f t="shared" si="4"/>
        <v/>
      </c>
      <c r="B49" s="58"/>
      <c r="C49" s="57"/>
      <c r="D49" s="58"/>
      <c r="E49" s="58"/>
      <c r="F49" s="58"/>
      <c r="G49" s="58"/>
      <c r="H49" s="58"/>
      <c r="I49" s="58"/>
      <c r="J49" s="58" t="str">
        <f t="shared" si="0"/>
        <v/>
      </c>
      <c r="K49" s="58" t="str">
        <f t="shared" si="1"/>
        <v/>
      </c>
      <c r="L49" s="59" t="str">
        <f>IF(C49="","",DATEDIF(C49,'Premium Table'!$B$6,"Y"))</f>
        <v/>
      </c>
      <c r="M49" s="59" t="str">
        <f t="shared" si="5"/>
        <v/>
      </c>
      <c r="N49" s="59" t="str">
        <f t="shared" si="2"/>
        <v/>
      </c>
      <c r="O49" s="102" t="str">
        <f t="shared" si="6"/>
        <v/>
      </c>
      <c r="P49" s="102" t="str">
        <f t="shared" si="7"/>
        <v/>
      </c>
      <c r="Q49" s="68">
        <f t="shared" si="8"/>
        <v>0</v>
      </c>
      <c r="R49" s="102" t="str">
        <f>IF(M49="","",O49+Q49)</f>
        <v/>
      </c>
      <c r="V49" s="67" t="s">
        <v>295</v>
      </c>
      <c r="W49" s="65" t="s">
        <v>289</v>
      </c>
      <c r="X49" t="s">
        <v>238</v>
      </c>
      <c r="Y49" t="str">
        <f t="shared" si="16"/>
        <v>HMD</v>
      </c>
      <c r="Z49" s="65">
        <v>32</v>
      </c>
    </row>
    <row r="50" spans="1:26" ht="16">
      <c r="A50" s="58" t="str">
        <f t="shared" si="4"/>
        <v/>
      </c>
      <c r="B50" s="58"/>
      <c r="C50" s="57"/>
      <c r="D50" s="58"/>
      <c r="E50" s="58"/>
      <c r="F50" s="58"/>
      <c r="G50" s="58"/>
      <c r="H50" s="58"/>
      <c r="I50" s="58"/>
      <c r="J50" s="58" t="str">
        <f t="shared" si="0"/>
        <v/>
      </c>
      <c r="K50" s="58" t="str">
        <f t="shared" si="1"/>
        <v/>
      </c>
      <c r="L50" s="59" t="str">
        <f>IF(C50="","",DATEDIF(C50,'Premium Table'!$B$6,"Y"))</f>
        <v/>
      </c>
      <c r="M50" s="59" t="str">
        <f t="shared" si="5"/>
        <v/>
      </c>
      <c r="N50" s="59" t="str">
        <f t="shared" si="2"/>
        <v/>
      </c>
      <c r="O50" s="102" t="str">
        <f t="shared" si="6"/>
        <v/>
      </c>
      <c r="P50" s="102" t="str">
        <f t="shared" si="7"/>
        <v/>
      </c>
      <c r="Q50" s="68">
        <f t="shared" si="8"/>
        <v>0</v>
      </c>
      <c r="R50" s="102" t="str">
        <f t="shared" si="3"/>
        <v/>
      </c>
      <c r="V50" s="67" t="s">
        <v>295</v>
      </c>
      <c r="W50" s="64" t="s">
        <v>291</v>
      </c>
      <c r="X50" t="s">
        <v>238</v>
      </c>
      <c r="Y50" t="str">
        <f t="shared" si="16"/>
        <v>HFD</v>
      </c>
      <c r="Z50" s="65">
        <v>33</v>
      </c>
    </row>
    <row r="51" spans="1:26">
      <c r="A51" s="58" t="str">
        <f t="shared" si="4"/>
        <v/>
      </c>
      <c r="B51" s="58"/>
      <c r="C51" s="57"/>
      <c r="D51" s="58"/>
      <c r="E51" s="58"/>
      <c r="F51" s="58"/>
      <c r="G51" s="58"/>
      <c r="H51" s="58"/>
      <c r="I51" s="58"/>
      <c r="J51" s="58" t="str">
        <f t="shared" si="0"/>
        <v/>
      </c>
      <c r="K51" s="58" t="str">
        <f t="shared" si="1"/>
        <v/>
      </c>
      <c r="L51" s="59" t="str">
        <f>IF(C51="","",DATEDIF(C51,'Premium Table'!$B$6,"Y"))</f>
        <v/>
      </c>
      <c r="M51" s="59" t="str">
        <f t="shared" si="5"/>
        <v/>
      </c>
      <c r="N51" s="59" t="str">
        <f t="shared" si="2"/>
        <v/>
      </c>
      <c r="O51" s="102" t="str">
        <f t="shared" si="6"/>
        <v/>
      </c>
      <c r="P51" s="102" t="str">
        <f t="shared" si="7"/>
        <v/>
      </c>
      <c r="Q51" s="68">
        <f t="shared" si="8"/>
        <v>0</v>
      </c>
      <c r="R51" s="102" t="str">
        <f t="shared" si="3"/>
        <v/>
      </c>
    </row>
    <row r="52" spans="1:26">
      <c r="A52" s="58" t="str">
        <f t="shared" si="4"/>
        <v/>
      </c>
      <c r="B52" s="58"/>
      <c r="C52" s="57"/>
      <c r="D52" s="58"/>
      <c r="E52" s="58"/>
      <c r="F52" s="58"/>
      <c r="G52" s="58"/>
      <c r="H52" s="58"/>
      <c r="I52" s="58"/>
      <c r="J52" s="58" t="str">
        <f t="shared" si="0"/>
        <v/>
      </c>
      <c r="K52" s="58" t="str">
        <f t="shared" si="1"/>
        <v/>
      </c>
      <c r="L52" s="59" t="str">
        <f>IF(C52="","",DATEDIF(C52,'Premium Table'!$B$6,"Y"))</f>
        <v/>
      </c>
      <c r="M52" s="59" t="str">
        <f t="shared" si="5"/>
        <v/>
      </c>
      <c r="N52" s="59" t="str">
        <f t="shared" si="2"/>
        <v/>
      </c>
      <c r="O52" s="102" t="str">
        <f t="shared" si="6"/>
        <v/>
      </c>
      <c r="P52" s="102" t="str">
        <f t="shared" si="7"/>
        <v/>
      </c>
      <c r="Q52" s="68">
        <f t="shared" si="8"/>
        <v>0</v>
      </c>
      <c r="R52" s="102" t="str">
        <f t="shared" si="3"/>
        <v/>
      </c>
    </row>
    <row r="53" spans="1:26">
      <c r="A53" s="58" t="str">
        <f t="shared" si="4"/>
        <v/>
      </c>
      <c r="B53" s="58"/>
      <c r="C53" s="57"/>
      <c r="D53" s="58"/>
      <c r="E53" s="58"/>
      <c r="F53" s="58"/>
      <c r="G53" s="58"/>
      <c r="H53" s="58"/>
      <c r="I53" s="58"/>
      <c r="J53" s="58" t="str">
        <f t="shared" si="0"/>
        <v/>
      </c>
      <c r="K53" s="58" t="str">
        <f t="shared" si="1"/>
        <v/>
      </c>
      <c r="L53" s="59" t="str">
        <f>IF(C53="","",DATEDIF(C53,'Premium Table'!$B$6,"Y"))</f>
        <v/>
      </c>
      <c r="M53" s="59" t="str">
        <f t="shared" si="5"/>
        <v/>
      </c>
      <c r="N53" s="59" t="str">
        <f t="shared" si="2"/>
        <v/>
      </c>
      <c r="O53" s="102" t="str">
        <f t="shared" si="6"/>
        <v/>
      </c>
      <c r="P53" s="102" t="str">
        <f t="shared" si="7"/>
        <v/>
      </c>
      <c r="Q53" s="68">
        <f t="shared" si="8"/>
        <v>0</v>
      </c>
      <c r="R53" s="102" t="str">
        <f t="shared" si="3"/>
        <v/>
      </c>
    </row>
    <row r="54" spans="1:26">
      <c r="A54" s="58" t="str">
        <f t="shared" si="4"/>
        <v/>
      </c>
      <c r="B54" s="58"/>
      <c r="C54" s="57"/>
      <c r="D54" s="58"/>
      <c r="E54" s="58"/>
      <c r="F54" s="58"/>
      <c r="G54" s="58"/>
      <c r="H54" s="58"/>
      <c r="I54" s="58"/>
      <c r="J54" s="58" t="str">
        <f t="shared" si="0"/>
        <v/>
      </c>
      <c r="K54" s="58" t="str">
        <f t="shared" si="1"/>
        <v/>
      </c>
      <c r="L54" s="59" t="str">
        <f>IF(C54="","",DATEDIF(C54,'Premium Table'!$B$6,"Y"))</f>
        <v/>
      </c>
      <c r="M54" s="59" t="str">
        <f t="shared" si="5"/>
        <v/>
      </c>
      <c r="N54" s="59" t="str">
        <f t="shared" si="2"/>
        <v/>
      </c>
      <c r="O54" s="102" t="str">
        <f t="shared" si="6"/>
        <v/>
      </c>
      <c r="P54" s="102" t="str">
        <f t="shared" si="7"/>
        <v/>
      </c>
      <c r="Q54" s="68">
        <f t="shared" si="8"/>
        <v>0</v>
      </c>
      <c r="R54" s="102" t="str">
        <f t="shared" si="3"/>
        <v/>
      </c>
    </row>
    <row r="55" spans="1:26" ht="16">
      <c r="A55" s="58" t="str">
        <f t="shared" si="4"/>
        <v/>
      </c>
      <c r="B55" s="58"/>
      <c r="C55" s="57"/>
      <c r="D55" s="58"/>
      <c r="E55" s="58"/>
      <c r="F55" s="58"/>
      <c r="G55" s="58"/>
      <c r="H55" s="58"/>
      <c r="I55" s="58"/>
      <c r="J55" s="58" t="str">
        <f t="shared" si="0"/>
        <v/>
      </c>
      <c r="K55" s="58" t="str">
        <f t="shared" si="1"/>
        <v/>
      </c>
      <c r="L55" s="59" t="str">
        <f>IF(C55="","",DATEDIF(C55,'Premium Table'!$B$6,"Y"))</f>
        <v/>
      </c>
      <c r="M55" s="59" t="str">
        <f t="shared" si="5"/>
        <v/>
      </c>
      <c r="N55" s="59" t="str">
        <f t="shared" si="2"/>
        <v/>
      </c>
      <c r="O55" s="102" t="str">
        <f t="shared" si="6"/>
        <v/>
      </c>
      <c r="P55" s="102" t="str">
        <f t="shared" si="7"/>
        <v/>
      </c>
      <c r="Q55" s="68">
        <f t="shared" si="8"/>
        <v>0</v>
      </c>
      <c r="R55" s="102" t="str">
        <f t="shared" si="3"/>
        <v/>
      </c>
      <c r="V55" s="64">
        <v>0</v>
      </c>
      <c r="W55" s="51" t="s">
        <v>23</v>
      </c>
      <c r="X55" s="51" t="s">
        <v>268</v>
      </c>
    </row>
    <row r="56" spans="1:26" ht="16">
      <c r="A56" s="58" t="str">
        <f t="shared" si="4"/>
        <v/>
      </c>
      <c r="B56" s="58"/>
      <c r="C56" s="57"/>
      <c r="D56" s="58"/>
      <c r="E56" s="58"/>
      <c r="F56" s="58"/>
      <c r="G56" s="58"/>
      <c r="H56" s="58"/>
      <c r="I56" s="58"/>
      <c r="J56" s="58" t="str">
        <f t="shared" si="0"/>
        <v/>
      </c>
      <c r="K56" s="58" t="str">
        <f t="shared" si="1"/>
        <v/>
      </c>
      <c r="L56" s="59" t="str">
        <f>IF(C56="","",DATEDIF(C56,'Premium Table'!$B$6,"Y"))</f>
        <v/>
      </c>
      <c r="M56" s="59" t="str">
        <f t="shared" si="5"/>
        <v/>
      </c>
      <c r="N56" s="59" t="str">
        <f t="shared" si="2"/>
        <v/>
      </c>
      <c r="O56" s="102" t="str">
        <f t="shared" si="6"/>
        <v/>
      </c>
      <c r="P56" s="102" t="str">
        <f t="shared" si="7"/>
        <v/>
      </c>
      <c r="Q56" s="68">
        <f t="shared" si="8"/>
        <v>0</v>
      </c>
      <c r="R56" s="102" t="str">
        <f t="shared" si="3"/>
        <v/>
      </c>
      <c r="V56" s="64">
        <v>1</v>
      </c>
      <c r="W56" s="51" t="s">
        <v>23</v>
      </c>
      <c r="X56" s="51" t="s">
        <v>268</v>
      </c>
    </row>
    <row r="57" spans="1:26" ht="16">
      <c r="A57" s="58" t="str">
        <f t="shared" si="4"/>
        <v/>
      </c>
      <c r="B57" s="58"/>
      <c r="C57" s="57"/>
      <c r="D57" s="58"/>
      <c r="E57" s="58"/>
      <c r="F57" s="58"/>
      <c r="G57" s="58"/>
      <c r="H57" s="58"/>
      <c r="I57" s="58"/>
      <c r="J57" s="58" t="str">
        <f t="shared" si="0"/>
        <v/>
      </c>
      <c r="K57" s="58" t="str">
        <f t="shared" si="1"/>
        <v/>
      </c>
      <c r="L57" s="59" t="str">
        <f>IF(C57="","",DATEDIF(C57,'Premium Table'!$B$6,"Y"))</f>
        <v/>
      </c>
      <c r="M57" s="59" t="str">
        <f t="shared" si="5"/>
        <v/>
      </c>
      <c r="N57" s="59" t="str">
        <f t="shared" si="2"/>
        <v/>
      </c>
      <c r="O57" s="102" t="str">
        <f t="shared" si="6"/>
        <v/>
      </c>
      <c r="P57" s="102" t="str">
        <f t="shared" si="7"/>
        <v/>
      </c>
      <c r="Q57" s="68">
        <f t="shared" si="8"/>
        <v>0</v>
      </c>
      <c r="R57" s="102" t="str">
        <f t="shared" si="3"/>
        <v/>
      </c>
      <c r="V57" s="64">
        <v>2</v>
      </c>
      <c r="W57" s="51" t="s">
        <v>23</v>
      </c>
      <c r="X57" s="51" t="s">
        <v>268</v>
      </c>
    </row>
    <row r="58" spans="1:26" ht="16">
      <c r="A58" s="58" t="str">
        <f t="shared" si="4"/>
        <v/>
      </c>
      <c r="B58" s="58"/>
      <c r="C58" s="57"/>
      <c r="D58" s="58"/>
      <c r="E58" s="58"/>
      <c r="F58" s="58"/>
      <c r="G58" s="58"/>
      <c r="H58" s="58"/>
      <c r="I58" s="58"/>
      <c r="J58" s="58" t="str">
        <f t="shared" si="0"/>
        <v/>
      </c>
      <c r="K58" s="58" t="str">
        <f t="shared" si="1"/>
        <v/>
      </c>
      <c r="L58" s="59" t="str">
        <f>IF(C58="","",DATEDIF(C58,'Premium Table'!$B$6,"Y"))</f>
        <v/>
      </c>
      <c r="M58" s="59" t="str">
        <f t="shared" si="5"/>
        <v/>
      </c>
      <c r="N58" s="59" t="str">
        <f t="shared" si="2"/>
        <v/>
      </c>
      <c r="O58" s="102" t="str">
        <f t="shared" si="6"/>
        <v/>
      </c>
      <c r="P58" s="102" t="str">
        <f t="shared" si="7"/>
        <v/>
      </c>
      <c r="Q58" s="68">
        <f t="shared" si="8"/>
        <v>0</v>
      </c>
      <c r="R58" s="102" t="str">
        <f t="shared" si="3"/>
        <v/>
      </c>
      <c r="V58" s="64">
        <v>3</v>
      </c>
      <c r="W58" s="51" t="s">
        <v>23</v>
      </c>
      <c r="X58" s="51" t="s">
        <v>268</v>
      </c>
    </row>
    <row r="59" spans="1:26" ht="16">
      <c r="A59" s="58" t="str">
        <f t="shared" si="4"/>
        <v/>
      </c>
      <c r="B59" s="58"/>
      <c r="C59" s="57"/>
      <c r="D59" s="58"/>
      <c r="E59" s="58"/>
      <c r="F59" s="58"/>
      <c r="G59" s="58"/>
      <c r="H59" s="58"/>
      <c r="I59" s="58"/>
      <c r="J59" s="58" t="str">
        <f t="shared" si="0"/>
        <v/>
      </c>
      <c r="K59" s="58" t="str">
        <f t="shared" si="1"/>
        <v/>
      </c>
      <c r="L59" s="59" t="str">
        <f>IF(C59="","",DATEDIF(C59,'Premium Table'!$B$6,"Y"))</f>
        <v/>
      </c>
      <c r="M59" s="59" t="str">
        <f t="shared" si="5"/>
        <v/>
      </c>
      <c r="N59" s="59" t="str">
        <f t="shared" si="2"/>
        <v/>
      </c>
      <c r="O59" s="102" t="str">
        <f t="shared" si="6"/>
        <v/>
      </c>
      <c r="P59" s="102" t="str">
        <f t="shared" si="7"/>
        <v/>
      </c>
      <c r="Q59" s="68">
        <f t="shared" si="8"/>
        <v>0</v>
      </c>
      <c r="R59" s="102" t="str">
        <f t="shared" si="3"/>
        <v/>
      </c>
      <c r="V59" s="64">
        <v>4</v>
      </c>
      <c r="W59" s="51" t="s">
        <v>23</v>
      </c>
      <c r="X59" s="51" t="s">
        <v>268</v>
      </c>
    </row>
    <row r="60" spans="1:26" ht="16">
      <c r="A60" s="58" t="str">
        <f t="shared" si="4"/>
        <v/>
      </c>
      <c r="B60" s="58"/>
      <c r="C60" s="57"/>
      <c r="D60" s="58"/>
      <c r="E60" s="58"/>
      <c r="F60" s="58"/>
      <c r="G60" s="58"/>
      <c r="H60" s="58"/>
      <c r="I60" s="58"/>
      <c r="J60" s="58" t="str">
        <f t="shared" si="0"/>
        <v/>
      </c>
      <c r="K60" s="58" t="str">
        <f t="shared" si="1"/>
        <v/>
      </c>
      <c r="L60" s="59" t="str">
        <f>IF(C60="","",DATEDIF(C60,'Premium Table'!$B$6,"Y"))</f>
        <v/>
      </c>
      <c r="M60" s="59" t="str">
        <f t="shared" si="5"/>
        <v/>
      </c>
      <c r="N60" s="59" t="str">
        <f t="shared" si="2"/>
        <v/>
      </c>
      <c r="O60" s="102" t="str">
        <f t="shared" si="6"/>
        <v/>
      </c>
      <c r="P60" s="102" t="str">
        <f t="shared" si="7"/>
        <v/>
      </c>
      <c r="Q60" s="68">
        <f t="shared" si="8"/>
        <v>0</v>
      </c>
      <c r="R60" s="102" t="str">
        <f t="shared" si="3"/>
        <v/>
      </c>
      <c r="V60" s="64">
        <v>5</v>
      </c>
      <c r="W60" s="51" t="s">
        <v>23</v>
      </c>
      <c r="X60" s="51" t="s">
        <v>268</v>
      </c>
    </row>
    <row r="61" spans="1:26" ht="16">
      <c r="A61" s="58" t="str">
        <f t="shared" si="4"/>
        <v/>
      </c>
      <c r="B61" s="58"/>
      <c r="C61" s="57"/>
      <c r="D61" s="58"/>
      <c r="E61" s="58"/>
      <c r="F61" s="58"/>
      <c r="G61" s="58"/>
      <c r="H61" s="58"/>
      <c r="I61" s="58"/>
      <c r="J61" s="58" t="str">
        <f t="shared" si="0"/>
        <v/>
      </c>
      <c r="K61" s="58" t="str">
        <f t="shared" si="1"/>
        <v/>
      </c>
      <c r="L61" s="59" t="str">
        <f>IF(C61="","",DATEDIF(C61,'Premium Table'!$B$6,"Y"))</f>
        <v/>
      </c>
      <c r="M61" s="59" t="str">
        <f t="shared" si="5"/>
        <v/>
      </c>
      <c r="N61" s="59" t="str">
        <f t="shared" si="2"/>
        <v/>
      </c>
      <c r="O61" s="102" t="str">
        <f t="shared" si="6"/>
        <v/>
      </c>
      <c r="P61" s="102" t="str">
        <f t="shared" si="7"/>
        <v/>
      </c>
      <c r="Q61" s="68">
        <f t="shared" si="8"/>
        <v>0</v>
      </c>
      <c r="R61" s="102" t="str">
        <f t="shared" si="3"/>
        <v/>
      </c>
      <c r="V61" s="64">
        <v>6</v>
      </c>
      <c r="W61" s="51" t="s">
        <v>23</v>
      </c>
      <c r="X61" s="51" t="s">
        <v>268</v>
      </c>
    </row>
    <row r="62" spans="1:26" ht="16">
      <c r="A62" s="58" t="str">
        <f t="shared" si="4"/>
        <v/>
      </c>
      <c r="B62" s="58"/>
      <c r="C62" s="57"/>
      <c r="D62" s="58"/>
      <c r="E62" s="58"/>
      <c r="F62" s="58"/>
      <c r="G62" s="58"/>
      <c r="H62" s="58"/>
      <c r="I62" s="58"/>
      <c r="J62" s="58" t="str">
        <f t="shared" si="0"/>
        <v/>
      </c>
      <c r="K62" s="58" t="str">
        <f t="shared" si="1"/>
        <v/>
      </c>
      <c r="L62" s="59" t="str">
        <f>IF(C62="","",DATEDIF(C62,'Premium Table'!$B$6,"Y"))</f>
        <v/>
      </c>
      <c r="M62" s="59" t="str">
        <f t="shared" si="5"/>
        <v/>
      </c>
      <c r="N62" s="59" t="str">
        <f t="shared" si="2"/>
        <v/>
      </c>
      <c r="O62" s="102" t="str">
        <f t="shared" si="6"/>
        <v/>
      </c>
      <c r="P62" s="102" t="str">
        <f t="shared" si="7"/>
        <v/>
      </c>
      <c r="Q62" s="68">
        <f t="shared" si="8"/>
        <v>0</v>
      </c>
      <c r="R62" s="102" t="str">
        <f t="shared" si="3"/>
        <v/>
      </c>
      <c r="V62" s="64">
        <v>7</v>
      </c>
      <c r="W62" s="51" t="s">
        <v>23</v>
      </c>
      <c r="X62" s="51" t="s">
        <v>268</v>
      </c>
    </row>
    <row r="63" spans="1:26" ht="16">
      <c r="A63" s="58" t="str">
        <f t="shared" si="4"/>
        <v/>
      </c>
      <c r="B63" s="58"/>
      <c r="C63" s="57"/>
      <c r="D63" s="58"/>
      <c r="E63" s="58"/>
      <c r="F63" s="58"/>
      <c r="G63" s="58"/>
      <c r="H63" s="58"/>
      <c r="I63" s="58"/>
      <c r="J63" s="58" t="str">
        <f t="shared" si="0"/>
        <v/>
      </c>
      <c r="K63" s="58" t="str">
        <f t="shared" si="1"/>
        <v/>
      </c>
      <c r="L63" s="59" t="str">
        <f>IF(C63="","",DATEDIF(C63,'Premium Table'!$B$6,"Y"))</f>
        <v/>
      </c>
      <c r="M63" s="59" t="str">
        <f t="shared" si="5"/>
        <v/>
      </c>
      <c r="N63" s="59" t="str">
        <f t="shared" si="2"/>
        <v/>
      </c>
      <c r="O63" s="102" t="str">
        <f t="shared" si="6"/>
        <v/>
      </c>
      <c r="P63" s="102" t="str">
        <f t="shared" si="7"/>
        <v/>
      </c>
      <c r="Q63" s="68">
        <f t="shared" si="8"/>
        <v>0</v>
      </c>
      <c r="R63" s="102" t="str">
        <f t="shared" si="3"/>
        <v/>
      </c>
      <c r="V63" s="64">
        <v>8</v>
      </c>
      <c r="W63" s="51" t="s">
        <v>23</v>
      </c>
      <c r="X63" s="51" t="s">
        <v>268</v>
      </c>
    </row>
    <row r="64" spans="1:26" ht="16">
      <c r="A64" s="58" t="str">
        <f t="shared" si="4"/>
        <v/>
      </c>
      <c r="B64" s="58"/>
      <c r="C64" s="57"/>
      <c r="D64" s="58"/>
      <c r="E64" s="58"/>
      <c r="F64" s="58"/>
      <c r="G64" s="58"/>
      <c r="H64" s="58"/>
      <c r="I64" s="58"/>
      <c r="J64" s="58" t="str">
        <f t="shared" si="0"/>
        <v/>
      </c>
      <c r="K64" s="58" t="str">
        <f t="shared" si="1"/>
        <v/>
      </c>
      <c r="L64" s="59" t="str">
        <f>IF(C64="","",DATEDIF(C64,'Premium Table'!$B$6,"Y"))</f>
        <v/>
      </c>
      <c r="M64" s="59" t="str">
        <f t="shared" si="5"/>
        <v/>
      </c>
      <c r="N64" s="59" t="str">
        <f t="shared" si="2"/>
        <v/>
      </c>
      <c r="O64" s="102" t="str">
        <f t="shared" si="6"/>
        <v/>
      </c>
      <c r="P64" s="102" t="str">
        <f t="shared" si="7"/>
        <v/>
      </c>
      <c r="Q64" s="68">
        <f t="shared" si="8"/>
        <v>0</v>
      </c>
      <c r="R64" s="102" t="str">
        <f t="shared" si="3"/>
        <v/>
      </c>
      <c r="V64" s="64">
        <v>9</v>
      </c>
      <c r="W64" s="51" t="s">
        <v>23</v>
      </c>
      <c r="X64" s="51" t="s">
        <v>268</v>
      </c>
    </row>
    <row r="65" spans="1:24" ht="16">
      <c r="A65" s="58" t="str">
        <f t="shared" si="4"/>
        <v/>
      </c>
      <c r="B65" s="58"/>
      <c r="C65" s="57"/>
      <c r="D65" s="58"/>
      <c r="E65" s="58"/>
      <c r="F65" s="58"/>
      <c r="G65" s="58"/>
      <c r="H65" s="58"/>
      <c r="I65" s="58"/>
      <c r="J65" s="58" t="str">
        <f t="shared" si="0"/>
        <v/>
      </c>
      <c r="K65" s="58" t="str">
        <f t="shared" si="1"/>
        <v/>
      </c>
      <c r="L65" s="59" t="str">
        <f>IF(C65="","",DATEDIF(C65,'Premium Table'!$B$6,"Y"))</f>
        <v/>
      </c>
      <c r="M65" s="59" t="str">
        <f t="shared" si="5"/>
        <v/>
      </c>
      <c r="N65" s="59" t="str">
        <f t="shared" si="2"/>
        <v/>
      </c>
      <c r="O65" s="102" t="str">
        <f t="shared" si="6"/>
        <v/>
      </c>
      <c r="P65" s="102" t="str">
        <f t="shared" si="7"/>
        <v/>
      </c>
      <c r="Q65" s="68">
        <f t="shared" si="8"/>
        <v>0</v>
      </c>
      <c r="R65" s="102" t="str">
        <f t="shared" si="3"/>
        <v/>
      </c>
      <c r="V65" s="64">
        <v>10</v>
      </c>
      <c r="W65" s="51" t="s">
        <v>23</v>
      </c>
      <c r="X65" s="51" t="s">
        <v>268</v>
      </c>
    </row>
    <row r="66" spans="1:24" ht="16">
      <c r="A66" s="58" t="str">
        <f t="shared" si="4"/>
        <v/>
      </c>
      <c r="B66" s="58"/>
      <c r="C66" s="57"/>
      <c r="D66" s="58"/>
      <c r="E66" s="58"/>
      <c r="F66" s="58"/>
      <c r="G66" s="58"/>
      <c r="H66" s="58"/>
      <c r="I66" s="58"/>
      <c r="J66" s="58" t="str">
        <f t="shared" si="0"/>
        <v/>
      </c>
      <c r="K66" s="58" t="str">
        <f t="shared" si="1"/>
        <v/>
      </c>
      <c r="L66" s="59" t="str">
        <f>IF(C66="","",DATEDIF(C66,'Premium Table'!$B$6,"Y"))</f>
        <v/>
      </c>
      <c r="M66" s="59" t="str">
        <f t="shared" si="5"/>
        <v/>
      </c>
      <c r="N66" s="59" t="str">
        <f t="shared" si="2"/>
        <v/>
      </c>
      <c r="O66" s="102" t="str">
        <f t="shared" si="6"/>
        <v/>
      </c>
      <c r="P66" s="102" t="str">
        <f t="shared" si="7"/>
        <v/>
      </c>
      <c r="Q66" s="68">
        <f t="shared" si="8"/>
        <v>0</v>
      </c>
      <c r="R66" s="102" t="str">
        <f t="shared" si="3"/>
        <v/>
      </c>
      <c r="V66" s="64">
        <v>11</v>
      </c>
      <c r="W66" s="51" t="s">
        <v>25</v>
      </c>
      <c r="X66" s="51" t="s">
        <v>268</v>
      </c>
    </row>
    <row r="67" spans="1:24" ht="16">
      <c r="A67" s="58" t="str">
        <f t="shared" si="4"/>
        <v/>
      </c>
      <c r="B67" s="58"/>
      <c r="C67" s="57"/>
      <c r="D67" s="58"/>
      <c r="E67" s="58"/>
      <c r="F67" s="58"/>
      <c r="G67" s="58"/>
      <c r="H67" s="58"/>
      <c r="I67" s="58"/>
      <c r="J67" s="58" t="str">
        <f t="shared" si="0"/>
        <v/>
      </c>
      <c r="K67" s="58" t="str">
        <f t="shared" si="1"/>
        <v/>
      </c>
      <c r="L67" s="59" t="str">
        <f>IF(C67="","",DATEDIF(C67,'Premium Table'!$B$6,"Y"))</f>
        <v/>
      </c>
      <c r="M67" s="59" t="str">
        <f t="shared" si="5"/>
        <v/>
      </c>
      <c r="N67" s="59" t="str">
        <f t="shared" si="2"/>
        <v/>
      </c>
      <c r="O67" s="102" t="str">
        <f t="shared" si="6"/>
        <v/>
      </c>
      <c r="P67" s="102" t="str">
        <f t="shared" si="7"/>
        <v/>
      </c>
      <c r="Q67" s="68">
        <f t="shared" si="8"/>
        <v>0</v>
      </c>
      <c r="R67" s="102" t="str">
        <f t="shared" si="3"/>
        <v/>
      </c>
      <c r="V67" s="64">
        <v>12</v>
      </c>
      <c r="W67" s="51" t="s">
        <v>25</v>
      </c>
      <c r="X67" s="51" t="s">
        <v>268</v>
      </c>
    </row>
    <row r="68" spans="1:24" ht="16">
      <c r="A68" s="58" t="str">
        <f t="shared" si="4"/>
        <v/>
      </c>
      <c r="B68" s="58"/>
      <c r="C68" s="57"/>
      <c r="D68" s="58"/>
      <c r="E68" s="58"/>
      <c r="F68" s="58"/>
      <c r="G68" s="58"/>
      <c r="H68" s="58"/>
      <c r="I68" s="58"/>
      <c r="J68" s="58" t="str">
        <f t="shared" si="0"/>
        <v/>
      </c>
      <c r="K68" s="58" t="str">
        <f t="shared" si="1"/>
        <v/>
      </c>
      <c r="L68" s="59" t="str">
        <f>IF(C68="","",DATEDIF(C68,'Premium Table'!$B$6,"Y"))</f>
        <v/>
      </c>
      <c r="M68" s="59" t="str">
        <f t="shared" si="5"/>
        <v/>
      </c>
      <c r="N68" s="59" t="str">
        <f t="shared" si="2"/>
        <v/>
      </c>
      <c r="O68" s="102" t="str">
        <f t="shared" si="6"/>
        <v/>
      </c>
      <c r="P68" s="102" t="str">
        <f t="shared" si="7"/>
        <v/>
      </c>
      <c r="Q68" s="68">
        <f t="shared" si="8"/>
        <v>0</v>
      </c>
      <c r="R68" s="102" t="str">
        <f t="shared" si="3"/>
        <v/>
      </c>
      <c r="V68" s="64">
        <v>13</v>
      </c>
      <c r="W68" s="51" t="s">
        <v>25</v>
      </c>
      <c r="X68" s="51" t="s">
        <v>268</v>
      </c>
    </row>
    <row r="69" spans="1:24" ht="16">
      <c r="A69" s="58" t="str">
        <f t="shared" si="4"/>
        <v/>
      </c>
      <c r="B69" s="58"/>
      <c r="C69" s="57"/>
      <c r="D69" s="58"/>
      <c r="E69" s="58"/>
      <c r="F69" s="58"/>
      <c r="G69" s="58"/>
      <c r="H69" s="58"/>
      <c r="I69" s="58"/>
      <c r="J69" s="58" t="str">
        <f t="shared" si="0"/>
        <v/>
      </c>
      <c r="K69" s="58" t="str">
        <f t="shared" si="1"/>
        <v/>
      </c>
      <c r="L69" s="59" t="str">
        <f>IF(C69="","",DATEDIF(C69,'Premium Table'!$B$6,"Y"))</f>
        <v/>
      </c>
      <c r="M69" s="59" t="str">
        <f t="shared" si="5"/>
        <v/>
      </c>
      <c r="N69" s="59" t="str">
        <f t="shared" si="2"/>
        <v/>
      </c>
      <c r="O69" s="102" t="str">
        <f t="shared" si="6"/>
        <v/>
      </c>
      <c r="P69" s="102" t="str">
        <f t="shared" si="7"/>
        <v/>
      </c>
      <c r="Q69" s="68">
        <f t="shared" si="8"/>
        <v>0</v>
      </c>
      <c r="R69" s="102" t="str">
        <f t="shared" si="3"/>
        <v/>
      </c>
      <c r="V69" s="64">
        <v>14</v>
      </c>
      <c r="W69" s="51" t="s">
        <v>25</v>
      </c>
      <c r="X69" s="51" t="s">
        <v>268</v>
      </c>
    </row>
    <row r="70" spans="1:24" ht="16">
      <c r="A70" s="58" t="str">
        <f t="shared" si="4"/>
        <v/>
      </c>
      <c r="B70" s="58"/>
      <c r="C70" s="57"/>
      <c r="D70" s="58"/>
      <c r="E70" s="58"/>
      <c r="F70" s="58"/>
      <c r="G70" s="58"/>
      <c r="H70" s="58"/>
      <c r="I70" s="58"/>
      <c r="J70" s="58" t="str">
        <f t="shared" ref="J70:J133" si="17">IF(D70="","",E70&amp;LEFT(D70)&amp;IF(F70="Employee","E","D"))</f>
        <v/>
      </c>
      <c r="K70" s="58" t="str">
        <f t="shared" ref="K70:K133" si="18">IF(J70="","",VLOOKUP(J70,$Y$19:$Z$50,2,FALSE))</f>
        <v/>
      </c>
      <c r="L70" s="59" t="str">
        <f>IF(C70="","",DATEDIF(C70,'Premium Table'!$B$6,"Y"))</f>
        <v/>
      </c>
      <c r="M70" s="59" t="str">
        <f t="shared" si="5"/>
        <v/>
      </c>
      <c r="N70" s="59" t="str">
        <f t="shared" ref="N70:N133" si="19">IF(L70="","",IF(M70="","",IF(H70="DXB",VLOOKUP(M70,DXBAgeBr,3,FALSE),IF(H70="AUH",VLOOKUP(M70,AUHAgeBr,2,FALSE),""))))</f>
        <v/>
      </c>
      <c r="O70" s="102" t="str">
        <f t="shared" si="6"/>
        <v/>
      </c>
      <c r="P70" s="102" t="str">
        <f t="shared" si="7"/>
        <v/>
      </c>
      <c r="Q70" s="68">
        <f t="shared" si="8"/>
        <v>0</v>
      </c>
      <c r="R70" s="102" t="str">
        <f t="shared" ref="R70:R133" si="20">IF(M70="","",O70+Q70)</f>
        <v/>
      </c>
      <c r="V70" s="64">
        <v>15</v>
      </c>
      <c r="W70" s="51" t="s">
        <v>25</v>
      </c>
      <c r="X70" s="51" t="s">
        <v>268</v>
      </c>
    </row>
    <row r="71" spans="1:24" ht="16">
      <c r="A71" s="58" t="str">
        <f t="shared" ref="A71:A134" si="21">IF(C71="","",A70+1)</f>
        <v/>
      </c>
      <c r="B71" s="58"/>
      <c r="C71" s="57"/>
      <c r="D71" s="58"/>
      <c r="E71" s="58"/>
      <c r="F71" s="58"/>
      <c r="G71" s="58"/>
      <c r="H71" s="58"/>
      <c r="I71" s="58"/>
      <c r="J71" s="58" t="str">
        <f t="shared" si="17"/>
        <v/>
      </c>
      <c r="K71" s="58" t="str">
        <f t="shared" si="18"/>
        <v/>
      </c>
      <c r="L71" s="59" t="str">
        <f>IF(C71="","",DATEDIF(C71,'Premium Table'!$B$6,"Y"))</f>
        <v/>
      </c>
      <c r="M71" s="59" t="str">
        <f t="shared" ref="M71:M134" si="22">IF(L71="","",IF(H71="","Choose Plan (DXB/AUH)",IF(H71="DXB",VLOOKUP(L71,$V$55:$W$154,2,FALSE),IF(H71="AUH",VLOOKUP(L71,$V$55:$X$154,3,FALSE),"Choose Plan (DXB/AUH)"))))</f>
        <v/>
      </c>
      <c r="N71" s="59" t="str">
        <f t="shared" si="19"/>
        <v/>
      </c>
      <c r="O71" s="102" t="str">
        <f t="shared" ref="O71:O134" si="23">IF(M71="","",VLOOKUP(N71,$V$5:$BB$17,K71,FALSE))</f>
        <v/>
      </c>
      <c r="P71" s="102" t="str">
        <f t="shared" ref="P71:P134" si="24">IF(L71="","",IF(H71="DXB",46,IF(H71="AUH",51,"")))</f>
        <v/>
      </c>
      <c r="Q71" s="68">
        <f t="shared" ref="Q71:Q134" si="25">IF(AND(LEFT(D71,1)="F",G71="Married",L71&gt;17,L71&lt;P71),HLOOKUP(E71,$W$1:$AA$2,2,FALSE),0)</f>
        <v>0</v>
      </c>
      <c r="R71" s="102" t="str">
        <f t="shared" si="20"/>
        <v/>
      </c>
      <c r="V71" s="64">
        <v>16</v>
      </c>
      <c r="W71" s="51" t="s">
        <v>25</v>
      </c>
      <c r="X71" s="51" t="s">
        <v>268</v>
      </c>
    </row>
    <row r="72" spans="1:24" ht="16">
      <c r="A72" s="58" t="str">
        <f t="shared" si="21"/>
        <v/>
      </c>
      <c r="B72" s="58"/>
      <c r="C72" s="57"/>
      <c r="D72" s="58"/>
      <c r="E72" s="58"/>
      <c r="F72" s="58"/>
      <c r="G72" s="58"/>
      <c r="H72" s="58"/>
      <c r="I72" s="58"/>
      <c r="J72" s="58" t="str">
        <f t="shared" si="17"/>
        <v/>
      </c>
      <c r="K72" s="58" t="str">
        <f t="shared" si="18"/>
        <v/>
      </c>
      <c r="L72" s="59" t="str">
        <f>IF(C72="","",DATEDIF(C72,'Premium Table'!$B$6,"Y"))</f>
        <v/>
      </c>
      <c r="M72" s="59" t="str">
        <f t="shared" si="22"/>
        <v/>
      </c>
      <c r="N72" s="59" t="str">
        <f t="shared" si="19"/>
        <v/>
      </c>
      <c r="O72" s="102" t="str">
        <f t="shared" si="23"/>
        <v/>
      </c>
      <c r="P72" s="102" t="str">
        <f t="shared" si="24"/>
        <v/>
      </c>
      <c r="Q72" s="68">
        <f t="shared" si="25"/>
        <v>0</v>
      </c>
      <c r="R72" s="102" t="str">
        <f t="shared" si="20"/>
        <v/>
      </c>
      <c r="V72" s="64">
        <v>17</v>
      </c>
      <c r="W72" s="51" t="s">
        <v>25</v>
      </c>
      <c r="X72" s="51" t="s">
        <v>268</v>
      </c>
    </row>
    <row r="73" spans="1:24" ht="16">
      <c r="A73" s="58" t="str">
        <f t="shared" si="21"/>
        <v/>
      </c>
      <c r="B73" s="58"/>
      <c r="C73" s="57"/>
      <c r="D73" s="58"/>
      <c r="E73" s="58"/>
      <c r="F73" s="58"/>
      <c r="G73" s="58"/>
      <c r="H73" s="58"/>
      <c r="I73" s="58"/>
      <c r="J73" s="58" t="str">
        <f t="shared" si="17"/>
        <v/>
      </c>
      <c r="K73" s="58" t="str">
        <f t="shared" si="18"/>
        <v/>
      </c>
      <c r="L73" s="59" t="str">
        <f>IF(C73="","",DATEDIF(C73,'Premium Table'!$B$6,"Y"))</f>
        <v/>
      </c>
      <c r="M73" s="59" t="str">
        <f t="shared" si="22"/>
        <v/>
      </c>
      <c r="N73" s="59" t="str">
        <f t="shared" si="19"/>
        <v/>
      </c>
      <c r="O73" s="102" t="str">
        <f t="shared" si="23"/>
        <v/>
      </c>
      <c r="P73" s="102" t="str">
        <f t="shared" si="24"/>
        <v/>
      </c>
      <c r="Q73" s="68">
        <f t="shared" si="25"/>
        <v>0</v>
      </c>
      <c r="R73" s="102" t="str">
        <f t="shared" si="20"/>
        <v/>
      </c>
      <c r="V73" s="64">
        <v>18</v>
      </c>
      <c r="W73" s="51" t="s">
        <v>27</v>
      </c>
      <c r="X73" s="51" t="s">
        <v>273</v>
      </c>
    </row>
    <row r="74" spans="1:24" ht="16">
      <c r="A74" s="58" t="str">
        <f t="shared" si="21"/>
        <v/>
      </c>
      <c r="B74" s="58"/>
      <c r="C74" s="57"/>
      <c r="D74" s="58"/>
      <c r="E74" s="58"/>
      <c r="F74" s="58"/>
      <c r="G74" s="58"/>
      <c r="H74" s="58"/>
      <c r="I74" s="58"/>
      <c r="J74" s="58" t="str">
        <f t="shared" si="17"/>
        <v/>
      </c>
      <c r="K74" s="58" t="str">
        <f t="shared" si="18"/>
        <v/>
      </c>
      <c r="L74" s="59" t="str">
        <f>IF(C74="","",DATEDIF(C74,'Premium Table'!$B$6,"Y"))</f>
        <v/>
      </c>
      <c r="M74" s="59" t="str">
        <f t="shared" si="22"/>
        <v/>
      </c>
      <c r="N74" s="59" t="str">
        <f t="shared" si="19"/>
        <v/>
      </c>
      <c r="O74" s="102" t="str">
        <f t="shared" si="23"/>
        <v/>
      </c>
      <c r="P74" s="102" t="str">
        <f t="shared" si="24"/>
        <v/>
      </c>
      <c r="Q74" s="68">
        <f t="shared" si="25"/>
        <v>0</v>
      </c>
      <c r="R74" s="102" t="str">
        <f t="shared" si="20"/>
        <v/>
      </c>
      <c r="V74" s="64">
        <v>19</v>
      </c>
      <c r="W74" s="51" t="s">
        <v>27</v>
      </c>
      <c r="X74" s="51" t="s">
        <v>273</v>
      </c>
    </row>
    <row r="75" spans="1:24" ht="16">
      <c r="A75" s="58" t="str">
        <f t="shared" si="21"/>
        <v/>
      </c>
      <c r="B75" s="58"/>
      <c r="C75" s="57"/>
      <c r="D75" s="58"/>
      <c r="E75" s="58"/>
      <c r="F75" s="58"/>
      <c r="G75" s="58"/>
      <c r="H75" s="58"/>
      <c r="I75" s="58"/>
      <c r="J75" s="58" t="str">
        <f t="shared" si="17"/>
        <v/>
      </c>
      <c r="K75" s="58" t="str">
        <f t="shared" si="18"/>
        <v/>
      </c>
      <c r="L75" s="59" t="str">
        <f>IF(C75="","",DATEDIF(C75,'Premium Table'!$B$6,"Y"))</f>
        <v/>
      </c>
      <c r="M75" s="59" t="str">
        <f t="shared" si="22"/>
        <v/>
      </c>
      <c r="N75" s="59" t="str">
        <f t="shared" si="19"/>
        <v/>
      </c>
      <c r="O75" s="102" t="str">
        <f t="shared" si="23"/>
        <v/>
      </c>
      <c r="P75" s="102" t="str">
        <f t="shared" si="24"/>
        <v/>
      </c>
      <c r="Q75" s="68">
        <f t="shared" si="25"/>
        <v>0</v>
      </c>
      <c r="R75" s="102" t="str">
        <f t="shared" si="20"/>
        <v/>
      </c>
      <c r="V75" s="64">
        <v>20</v>
      </c>
      <c r="W75" s="51" t="s">
        <v>27</v>
      </c>
      <c r="X75" s="51" t="s">
        <v>273</v>
      </c>
    </row>
    <row r="76" spans="1:24" ht="16">
      <c r="A76" s="58" t="str">
        <f t="shared" si="21"/>
        <v/>
      </c>
      <c r="B76" s="58"/>
      <c r="C76" s="57"/>
      <c r="D76" s="58"/>
      <c r="E76" s="58"/>
      <c r="F76" s="58"/>
      <c r="G76" s="58"/>
      <c r="H76" s="58"/>
      <c r="I76" s="58"/>
      <c r="J76" s="58" t="str">
        <f t="shared" si="17"/>
        <v/>
      </c>
      <c r="K76" s="58" t="str">
        <f t="shared" si="18"/>
        <v/>
      </c>
      <c r="L76" s="59" t="str">
        <f>IF(C76="","",DATEDIF(C76,'Premium Table'!$B$6,"Y"))</f>
        <v/>
      </c>
      <c r="M76" s="59" t="str">
        <f t="shared" si="22"/>
        <v/>
      </c>
      <c r="N76" s="59" t="str">
        <f t="shared" si="19"/>
        <v/>
      </c>
      <c r="O76" s="102" t="str">
        <f t="shared" si="23"/>
        <v/>
      </c>
      <c r="P76" s="102" t="str">
        <f t="shared" si="24"/>
        <v/>
      </c>
      <c r="Q76" s="68">
        <f t="shared" si="25"/>
        <v>0</v>
      </c>
      <c r="R76" s="102" t="str">
        <f t="shared" si="20"/>
        <v/>
      </c>
      <c r="V76" s="64">
        <v>21</v>
      </c>
      <c r="W76" s="51" t="s">
        <v>27</v>
      </c>
      <c r="X76" s="51" t="s">
        <v>273</v>
      </c>
    </row>
    <row r="77" spans="1:24" ht="16">
      <c r="A77" s="58" t="str">
        <f t="shared" si="21"/>
        <v/>
      </c>
      <c r="B77" s="58"/>
      <c r="C77" s="57"/>
      <c r="D77" s="58"/>
      <c r="E77" s="58"/>
      <c r="F77" s="58"/>
      <c r="G77" s="58"/>
      <c r="H77" s="58"/>
      <c r="I77" s="58"/>
      <c r="J77" s="58" t="str">
        <f t="shared" si="17"/>
        <v/>
      </c>
      <c r="K77" s="58" t="str">
        <f t="shared" si="18"/>
        <v/>
      </c>
      <c r="L77" s="59" t="str">
        <f>IF(C77="","",DATEDIF(C77,'Premium Table'!$B$6,"Y"))</f>
        <v/>
      </c>
      <c r="M77" s="59" t="str">
        <f t="shared" si="22"/>
        <v/>
      </c>
      <c r="N77" s="59" t="str">
        <f t="shared" si="19"/>
        <v/>
      </c>
      <c r="O77" s="102" t="str">
        <f t="shared" si="23"/>
        <v/>
      </c>
      <c r="P77" s="102" t="str">
        <f t="shared" si="24"/>
        <v/>
      </c>
      <c r="Q77" s="68">
        <f t="shared" si="25"/>
        <v>0</v>
      </c>
      <c r="R77" s="102" t="str">
        <f t="shared" si="20"/>
        <v/>
      </c>
      <c r="V77" s="64">
        <v>22</v>
      </c>
      <c r="W77" s="51" t="s">
        <v>27</v>
      </c>
      <c r="X77" s="51" t="s">
        <v>273</v>
      </c>
    </row>
    <row r="78" spans="1:24" ht="16">
      <c r="A78" s="58" t="str">
        <f t="shared" si="21"/>
        <v/>
      </c>
      <c r="B78" s="58"/>
      <c r="C78" s="57"/>
      <c r="D78" s="58"/>
      <c r="E78" s="58"/>
      <c r="F78" s="58"/>
      <c r="G78" s="58"/>
      <c r="H78" s="58"/>
      <c r="I78" s="58"/>
      <c r="J78" s="58" t="str">
        <f t="shared" si="17"/>
        <v/>
      </c>
      <c r="K78" s="58" t="str">
        <f t="shared" si="18"/>
        <v/>
      </c>
      <c r="L78" s="59" t="str">
        <f>IF(C78="","",DATEDIF(C78,'Premium Table'!$B$6,"Y"))</f>
        <v/>
      </c>
      <c r="M78" s="59" t="str">
        <f t="shared" si="22"/>
        <v/>
      </c>
      <c r="N78" s="59" t="str">
        <f t="shared" si="19"/>
        <v/>
      </c>
      <c r="O78" s="102" t="str">
        <f t="shared" si="23"/>
        <v/>
      </c>
      <c r="P78" s="102" t="str">
        <f t="shared" si="24"/>
        <v/>
      </c>
      <c r="Q78" s="68">
        <f t="shared" si="25"/>
        <v>0</v>
      </c>
      <c r="R78" s="102" t="str">
        <f t="shared" si="20"/>
        <v/>
      </c>
      <c r="V78" s="64">
        <v>23</v>
      </c>
      <c r="W78" s="51" t="s">
        <v>27</v>
      </c>
      <c r="X78" s="51" t="s">
        <v>273</v>
      </c>
    </row>
    <row r="79" spans="1:24" ht="16">
      <c r="A79" s="58" t="str">
        <f t="shared" si="21"/>
        <v/>
      </c>
      <c r="B79" s="58"/>
      <c r="C79" s="57"/>
      <c r="D79" s="58"/>
      <c r="E79" s="58"/>
      <c r="F79" s="58"/>
      <c r="G79" s="58"/>
      <c r="H79" s="58"/>
      <c r="I79" s="58"/>
      <c r="J79" s="58" t="str">
        <f t="shared" si="17"/>
        <v/>
      </c>
      <c r="K79" s="58" t="str">
        <f t="shared" si="18"/>
        <v/>
      </c>
      <c r="L79" s="59" t="str">
        <f>IF(C79="","",DATEDIF(C79,'Premium Table'!$B$6,"Y"))</f>
        <v/>
      </c>
      <c r="M79" s="59" t="str">
        <f t="shared" si="22"/>
        <v/>
      </c>
      <c r="N79" s="59" t="str">
        <f t="shared" si="19"/>
        <v/>
      </c>
      <c r="O79" s="102" t="str">
        <f t="shared" si="23"/>
        <v/>
      </c>
      <c r="P79" s="102" t="str">
        <f t="shared" si="24"/>
        <v/>
      </c>
      <c r="Q79" s="68">
        <f t="shared" si="25"/>
        <v>0</v>
      </c>
      <c r="R79" s="102" t="str">
        <f t="shared" si="20"/>
        <v/>
      </c>
      <c r="V79" s="64">
        <v>24</v>
      </c>
      <c r="W79" s="51" t="s">
        <v>27</v>
      </c>
      <c r="X79" s="51" t="s">
        <v>273</v>
      </c>
    </row>
    <row r="80" spans="1:24" ht="16">
      <c r="A80" s="58" t="str">
        <f t="shared" si="21"/>
        <v/>
      </c>
      <c r="B80" s="58"/>
      <c r="C80" s="57"/>
      <c r="D80" s="58"/>
      <c r="E80" s="58"/>
      <c r="F80" s="58"/>
      <c r="G80" s="58"/>
      <c r="H80" s="58"/>
      <c r="I80" s="58"/>
      <c r="J80" s="58" t="str">
        <f t="shared" si="17"/>
        <v/>
      </c>
      <c r="K80" s="58" t="str">
        <f t="shared" si="18"/>
        <v/>
      </c>
      <c r="L80" s="59" t="str">
        <f>IF(C80="","",DATEDIF(C80,'Premium Table'!$B$6,"Y"))</f>
        <v/>
      </c>
      <c r="M80" s="59" t="str">
        <f t="shared" si="22"/>
        <v/>
      </c>
      <c r="N80" s="59" t="str">
        <f t="shared" si="19"/>
        <v/>
      </c>
      <c r="O80" s="102" t="str">
        <f t="shared" si="23"/>
        <v/>
      </c>
      <c r="P80" s="102" t="str">
        <f t="shared" si="24"/>
        <v/>
      </c>
      <c r="Q80" s="68">
        <f t="shared" si="25"/>
        <v>0</v>
      </c>
      <c r="R80" s="102" t="str">
        <f t="shared" si="20"/>
        <v/>
      </c>
      <c r="V80" s="64">
        <v>25</v>
      </c>
      <c r="W80" s="51" t="s">
        <v>27</v>
      </c>
      <c r="X80" s="51" t="s">
        <v>273</v>
      </c>
    </row>
    <row r="81" spans="1:24" ht="16">
      <c r="A81" s="58" t="str">
        <f t="shared" si="21"/>
        <v/>
      </c>
      <c r="B81" s="58"/>
      <c r="C81" s="57"/>
      <c r="D81" s="58"/>
      <c r="E81" s="58"/>
      <c r="F81" s="58"/>
      <c r="G81" s="58"/>
      <c r="H81" s="58"/>
      <c r="I81" s="58"/>
      <c r="J81" s="58" t="str">
        <f t="shared" si="17"/>
        <v/>
      </c>
      <c r="K81" s="58" t="str">
        <f t="shared" si="18"/>
        <v/>
      </c>
      <c r="L81" s="59" t="str">
        <f>IF(C81="","",DATEDIF(C81,'Premium Table'!$B$6,"Y"))</f>
        <v/>
      </c>
      <c r="M81" s="59" t="str">
        <f t="shared" si="22"/>
        <v/>
      </c>
      <c r="N81" s="59" t="str">
        <f t="shared" si="19"/>
        <v/>
      </c>
      <c r="O81" s="102" t="str">
        <f t="shared" si="23"/>
        <v/>
      </c>
      <c r="P81" s="102" t="str">
        <f t="shared" si="24"/>
        <v/>
      </c>
      <c r="Q81" s="68">
        <f t="shared" si="25"/>
        <v>0</v>
      </c>
      <c r="R81" s="102" t="str">
        <f t="shared" si="20"/>
        <v/>
      </c>
      <c r="V81" s="64">
        <v>26</v>
      </c>
      <c r="W81" s="51" t="s">
        <v>29</v>
      </c>
      <c r="X81" s="51" t="s">
        <v>273</v>
      </c>
    </row>
    <row r="82" spans="1:24" ht="16">
      <c r="A82" s="58" t="str">
        <f t="shared" si="21"/>
        <v/>
      </c>
      <c r="B82" s="58"/>
      <c r="C82" s="57"/>
      <c r="D82" s="58"/>
      <c r="E82" s="58"/>
      <c r="F82" s="58"/>
      <c r="G82" s="58"/>
      <c r="H82" s="58"/>
      <c r="I82" s="58"/>
      <c r="J82" s="58" t="str">
        <f t="shared" si="17"/>
        <v/>
      </c>
      <c r="K82" s="58" t="str">
        <f t="shared" si="18"/>
        <v/>
      </c>
      <c r="L82" s="59" t="str">
        <f>IF(C82="","",DATEDIF(C82,'Premium Table'!$B$6,"Y"))</f>
        <v/>
      </c>
      <c r="M82" s="59" t="str">
        <f t="shared" si="22"/>
        <v/>
      </c>
      <c r="N82" s="59" t="str">
        <f t="shared" si="19"/>
        <v/>
      </c>
      <c r="O82" s="102" t="str">
        <f t="shared" si="23"/>
        <v/>
      </c>
      <c r="P82" s="102" t="str">
        <f t="shared" si="24"/>
        <v/>
      </c>
      <c r="Q82" s="68">
        <f t="shared" si="25"/>
        <v>0</v>
      </c>
      <c r="R82" s="102" t="str">
        <f t="shared" si="20"/>
        <v/>
      </c>
      <c r="V82" s="64">
        <v>27</v>
      </c>
      <c r="W82" s="51" t="s">
        <v>29</v>
      </c>
      <c r="X82" s="51" t="s">
        <v>273</v>
      </c>
    </row>
    <row r="83" spans="1:24" ht="16">
      <c r="A83" s="58" t="str">
        <f t="shared" si="21"/>
        <v/>
      </c>
      <c r="B83" s="58"/>
      <c r="C83" s="57"/>
      <c r="D83" s="58"/>
      <c r="E83" s="58"/>
      <c r="F83" s="58"/>
      <c r="G83" s="58"/>
      <c r="H83" s="58"/>
      <c r="I83" s="58"/>
      <c r="J83" s="58" t="str">
        <f t="shared" si="17"/>
        <v/>
      </c>
      <c r="K83" s="58" t="str">
        <f t="shared" si="18"/>
        <v/>
      </c>
      <c r="L83" s="59" t="str">
        <f>IF(C83="","",DATEDIF(C83,'Premium Table'!$B$6,"Y"))</f>
        <v/>
      </c>
      <c r="M83" s="59" t="str">
        <f t="shared" si="22"/>
        <v/>
      </c>
      <c r="N83" s="59" t="str">
        <f t="shared" si="19"/>
        <v/>
      </c>
      <c r="O83" s="102" t="str">
        <f t="shared" si="23"/>
        <v/>
      </c>
      <c r="P83" s="102" t="str">
        <f t="shared" si="24"/>
        <v/>
      </c>
      <c r="Q83" s="68">
        <f t="shared" si="25"/>
        <v>0</v>
      </c>
      <c r="R83" s="102" t="str">
        <f t="shared" si="20"/>
        <v/>
      </c>
      <c r="V83" s="64">
        <v>28</v>
      </c>
      <c r="W83" s="51" t="s">
        <v>29</v>
      </c>
      <c r="X83" s="51" t="s">
        <v>273</v>
      </c>
    </row>
    <row r="84" spans="1:24" ht="16">
      <c r="A84" s="58" t="str">
        <f t="shared" si="21"/>
        <v/>
      </c>
      <c r="B84" s="58"/>
      <c r="C84" s="57"/>
      <c r="D84" s="58"/>
      <c r="E84" s="58"/>
      <c r="F84" s="58"/>
      <c r="G84" s="58"/>
      <c r="H84" s="58"/>
      <c r="I84" s="58"/>
      <c r="J84" s="58" t="str">
        <f t="shared" si="17"/>
        <v/>
      </c>
      <c r="K84" s="58" t="str">
        <f t="shared" si="18"/>
        <v/>
      </c>
      <c r="L84" s="59" t="str">
        <f>IF(C84="","",DATEDIF(C84,'Premium Table'!$B$6,"Y"))</f>
        <v/>
      </c>
      <c r="M84" s="59" t="str">
        <f t="shared" si="22"/>
        <v/>
      </c>
      <c r="N84" s="59" t="str">
        <f t="shared" si="19"/>
        <v/>
      </c>
      <c r="O84" s="102" t="str">
        <f t="shared" si="23"/>
        <v/>
      </c>
      <c r="P84" s="102" t="str">
        <f t="shared" si="24"/>
        <v/>
      </c>
      <c r="Q84" s="68">
        <f t="shared" si="25"/>
        <v>0</v>
      </c>
      <c r="R84" s="102" t="str">
        <f t="shared" si="20"/>
        <v/>
      </c>
      <c r="V84" s="64">
        <v>29</v>
      </c>
      <c r="W84" s="51" t="s">
        <v>29</v>
      </c>
      <c r="X84" s="51" t="s">
        <v>273</v>
      </c>
    </row>
    <row r="85" spans="1:24" ht="16">
      <c r="A85" s="58" t="str">
        <f t="shared" si="21"/>
        <v/>
      </c>
      <c r="B85" s="58"/>
      <c r="C85" s="57"/>
      <c r="D85" s="58"/>
      <c r="E85" s="58"/>
      <c r="F85" s="58"/>
      <c r="G85" s="58"/>
      <c r="H85" s="58"/>
      <c r="I85" s="58"/>
      <c r="J85" s="58" t="str">
        <f t="shared" si="17"/>
        <v/>
      </c>
      <c r="K85" s="58" t="str">
        <f t="shared" si="18"/>
        <v/>
      </c>
      <c r="L85" s="59" t="str">
        <f>IF(C85="","",DATEDIF(C85,'Premium Table'!$B$6,"Y"))</f>
        <v/>
      </c>
      <c r="M85" s="59" t="str">
        <f t="shared" si="22"/>
        <v/>
      </c>
      <c r="N85" s="59" t="str">
        <f t="shared" si="19"/>
        <v/>
      </c>
      <c r="O85" s="102" t="str">
        <f t="shared" si="23"/>
        <v/>
      </c>
      <c r="P85" s="102" t="str">
        <f t="shared" si="24"/>
        <v/>
      </c>
      <c r="Q85" s="68">
        <f t="shared" si="25"/>
        <v>0</v>
      </c>
      <c r="R85" s="102" t="str">
        <f t="shared" si="20"/>
        <v/>
      </c>
      <c r="V85" s="64">
        <v>30</v>
      </c>
      <c r="W85" s="51" t="s">
        <v>29</v>
      </c>
      <c r="X85" s="51" t="s">
        <v>273</v>
      </c>
    </row>
    <row r="86" spans="1:24" ht="16">
      <c r="A86" s="58" t="str">
        <f t="shared" si="21"/>
        <v/>
      </c>
      <c r="B86" s="58"/>
      <c r="C86" s="57"/>
      <c r="D86" s="58"/>
      <c r="E86" s="58"/>
      <c r="F86" s="58"/>
      <c r="G86" s="58"/>
      <c r="H86" s="58"/>
      <c r="I86" s="58"/>
      <c r="J86" s="58" t="str">
        <f t="shared" si="17"/>
        <v/>
      </c>
      <c r="K86" s="58" t="str">
        <f t="shared" si="18"/>
        <v/>
      </c>
      <c r="L86" s="59" t="str">
        <f>IF(C86="","",DATEDIF(C86,'Premium Table'!$B$6,"Y"))</f>
        <v/>
      </c>
      <c r="M86" s="59" t="str">
        <f t="shared" si="22"/>
        <v/>
      </c>
      <c r="N86" s="59" t="str">
        <f t="shared" si="19"/>
        <v/>
      </c>
      <c r="O86" s="102" t="str">
        <f t="shared" si="23"/>
        <v/>
      </c>
      <c r="P86" s="102" t="str">
        <f t="shared" si="24"/>
        <v/>
      </c>
      <c r="Q86" s="68">
        <f t="shared" si="25"/>
        <v>0</v>
      </c>
      <c r="R86" s="102" t="str">
        <f t="shared" si="20"/>
        <v/>
      </c>
      <c r="V86" s="64">
        <v>31</v>
      </c>
      <c r="W86" s="51" t="s">
        <v>31</v>
      </c>
      <c r="X86" s="51" t="s">
        <v>273</v>
      </c>
    </row>
    <row r="87" spans="1:24" ht="16">
      <c r="A87" s="58" t="str">
        <f t="shared" si="21"/>
        <v/>
      </c>
      <c r="B87" s="58"/>
      <c r="C87" s="57"/>
      <c r="D87" s="58"/>
      <c r="E87" s="58"/>
      <c r="F87" s="58"/>
      <c r="G87" s="58"/>
      <c r="H87" s="58"/>
      <c r="I87" s="58"/>
      <c r="J87" s="58" t="str">
        <f t="shared" si="17"/>
        <v/>
      </c>
      <c r="K87" s="58" t="str">
        <f t="shared" si="18"/>
        <v/>
      </c>
      <c r="L87" s="59" t="str">
        <f>IF(C87="","",DATEDIF(C87,'Premium Table'!$B$6,"Y"))</f>
        <v/>
      </c>
      <c r="M87" s="59" t="str">
        <f t="shared" si="22"/>
        <v/>
      </c>
      <c r="N87" s="59" t="str">
        <f t="shared" si="19"/>
        <v/>
      </c>
      <c r="O87" s="102" t="str">
        <f t="shared" si="23"/>
        <v/>
      </c>
      <c r="P87" s="102" t="str">
        <f t="shared" si="24"/>
        <v/>
      </c>
      <c r="Q87" s="68">
        <f t="shared" si="25"/>
        <v>0</v>
      </c>
      <c r="R87" s="102" t="str">
        <f t="shared" si="20"/>
        <v/>
      </c>
      <c r="V87" s="64">
        <v>32</v>
      </c>
      <c r="W87" s="51" t="s">
        <v>31</v>
      </c>
      <c r="X87" s="51" t="s">
        <v>273</v>
      </c>
    </row>
    <row r="88" spans="1:24" ht="16">
      <c r="A88" s="58" t="str">
        <f t="shared" si="21"/>
        <v/>
      </c>
      <c r="B88" s="58"/>
      <c r="C88" s="57"/>
      <c r="D88" s="58"/>
      <c r="E88" s="58"/>
      <c r="F88" s="58"/>
      <c r="G88" s="58"/>
      <c r="H88" s="58"/>
      <c r="I88" s="58"/>
      <c r="J88" s="58" t="str">
        <f t="shared" si="17"/>
        <v/>
      </c>
      <c r="K88" s="58" t="str">
        <f t="shared" si="18"/>
        <v/>
      </c>
      <c r="L88" s="59" t="str">
        <f>IF(C88="","",DATEDIF(C88,'Premium Table'!$B$6,"Y"))</f>
        <v/>
      </c>
      <c r="M88" s="59" t="str">
        <f t="shared" si="22"/>
        <v/>
      </c>
      <c r="N88" s="59" t="str">
        <f t="shared" si="19"/>
        <v/>
      </c>
      <c r="O88" s="102" t="str">
        <f t="shared" si="23"/>
        <v/>
      </c>
      <c r="P88" s="102" t="str">
        <f t="shared" si="24"/>
        <v/>
      </c>
      <c r="Q88" s="68">
        <f t="shared" si="25"/>
        <v>0</v>
      </c>
      <c r="R88" s="102" t="str">
        <f t="shared" si="20"/>
        <v/>
      </c>
      <c r="V88" s="64">
        <v>33</v>
      </c>
      <c r="W88" s="51" t="s">
        <v>31</v>
      </c>
      <c r="X88" s="51" t="s">
        <v>273</v>
      </c>
    </row>
    <row r="89" spans="1:24" ht="16">
      <c r="A89" s="58" t="str">
        <f t="shared" si="21"/>
        <v/>
      </c>
      <c r="B89" s="58"/>
      <c r="C89" s="57"/>
      <c r="D89" s="58"/>
      <c r="E89" s="58"/>
      <c r="F89" s="58"/>
      <c r="G89" s="58"/>
      <c r="H89" s="58"/>
      <c r="I89" s="58"/>
      <c r="J89" s="58" t="str">
        <f t="shared" si="17"/>
        <v/>
      </c>
      <c r="K89" s="58" t="str">
        <f t="shared" si="18"/>
        <v/>
      </c>
      <c r="L89" s="59" t="str">
        <f>IF(C89="","",DATEDIF(C89,'Premium Table'!$B$6,"Y"))</f>
        <v/>
      </c>
      <c r="M89" s="59" t="str">
        <f t="shared" si="22"/>
        <v/>
      </c>
      <c r="N89" s="59" t="str">
        <f t="shared" si="19"/>
        <v/>
      </c>
      <c r="O89" s="102" t="str">
        <f t="shared" si="23"/>
        <v/>
      </c>
      <c r="P89" s="102" t="str">
        <f t="shared" si="24"/>
        <v/>
      </c>
      <c r="Q89" s="68">
        <f t="shared" si="25"/>
        <v>0</v>
      </c>
      <c r="R89" s="102" t="str">
        <f t="shared" si="20"/>
        <v/>
      </c>
      <c r="V89" s="64">
        <v>34</v>
      </c>
      <c r="W89" s="51" t="s">
        <v>31</v>
      </c>
      <c r="X89" s="51" t="s">
        <v>273</v>
      </c>
    </row>
    <row r="90" spans="1:24" ht="16">
      <c r="A90" s="58" t="str">
        <f t="shared" si="21"/>
        <v/>
      </c>
      <c r="B90" s="58"/>
      <c r="C90" s="57"/>
      <c r="D90" s="58"/>
      <c r="E90" s="58"/>
      <c r="F90" s="58"/>
      <c r="G90" s="58"/>
      <c r="H90" s="58"/>
      <c r="I90" s="58"/>
      <c r="J90" s="58" t="str">
        <f t="shared" si="17"/>
        <v/>
      </c>
      <c r="K90" s="58" t="str">
        <f t="shared" si="18"/>
        <v/>
      </c>
      <c r="L90" s="59" t="str">
        <f>IF(C90="","",DATEDIF(C90,'Premium Table'!$B$6,"Y"))</f>
        <v/>
      </c>
      <c r="M90" s="59" t="str">
        <f t="shared" si="22"/>
        <v/>
      </c>
      <c r="N90" s="59" t="str">
        <f t="shared" si="19"/>
        <v/>
      </c>
      <c r="O90" s="102" t="str">
        <f t="shared" si="23"/>
        <v/>
      </c>
      <c r="P90" s="102" t="str">
        <f t="shared" si="24"/>
        <v/>
      </c>
      <c r="Q90" s="68">
        <f t="shared" si="25"/>
        <v>0</v>
      </c>
      <c r="R90" s="102" t="str">
        <f t="shared" si="20"/>
        <v/>
      </c>
      <c r="V90" s="64">
        <v>35</v>
      </c>
      <c r="W90" s="51" t="s">
        <v>31</v>
      </c>
      <c r="X90" s="51" t="s">
        <v>273</v>
      </c>
    </row>
    <row r="91" spans="1:24" ht="16">
      <c r="A91" s="58" t="str">
        <f t="shared" si="21"/>
        <v/>
      </c>
      <c r="B91" s="58"/>
      <c r="C91" s="57"/>
      <c r="D91" s="58"/>
      <c r="E91" s="58"/>
      <c r="F91" s="58"/>
      <c r="G91" s="58"/>
      <c r="H91" s="58"/>
      <c r="I91" s="58"/>
      <c r="J91" s="58" t="str">
        <f t="shared" si="17"/>
        <v/>
      </c>
      <c r="K91" s="58" t="str">
        <f t="shared" si="18"/>
        <v/>
      </c>
      <c r="L91" s="59" t="str">
        <f>IF(C91="","",DATEDIF(C91,'Premium Table'!$B$6,"Y"))</f>
        <v/>
      </c>
      <c r="M91" s="59" t="str">
        <f t="shared" si="22"/>
        <v/>
      </c>
      <c r="N91" s="59" t="str">
        <f t="shared" si="19"/>
        <v/>
      </c>
      <c r="O91" s="102" t="str">
        <f t="shared" si="23"/>
        <v/>
      </c>
      <c r="P91" s="102" t="str">
        <f t="shared" si="24"/>
        <v/>
      </c>
      <c r="Q91" s="68">
        <f t="shared" si="25"/>
        <v>0</v>
      </c>
      <c r="R91" s="102" t="str">
        <f t="shared" si="20"/>
        <v/>
      </c>
      <c r="V91" s="64">
        <v>36</v>
      </c>
      <c r="W91" s="51" t="s">
        <v>33</v>
      </c>
      <c r="X91" s="51" t="s">
        <v>273</v>
      </c>
    </row>
    <row r="92" spans="1:24" ht="16">
      <c r="A92" s="58" t="str">
        <f t="shared" si="21"/>
        <v/>
      </c>
      <c r="B92" s="58"/>
      <c r="C92" s="57"/>
      <c r="D92" s="58"/>
      <c r="E92" s="58"/>
      <c r="F92" s="58"/>
      <c r="G92" s="58"/>
      <c r="H92" s="58"/>
      <c r="I92" s="58"/>
      <c r="J92" s="58" t="str">
        <f t="shared" si="17"/>
        <v/>
      </c>
      <c r="K92" s="58" t="str">
        <f t="shared" si="18"/>
        <v/>
      </c>
      <c r="L92" s="59" t="str">
        <f>IF(C92="","",DATEDIF(C92,'Premium Table'!$B$6,"Y"))</f>
        <v/>
      </c>
      <c r="M92" s="59" t="str">
        <f t="shared" si="22"/>
        <v/>
      </c>
      <c r="N92" s="59" t="str">
        <f t="shared" si="19"/>
        <v/>
      </c>
      <c r="O92" s="102" t="str">
        <f t="shared" si="23"/>
        <v/>
      </c>
      <c r="P92" s="102" t="str">
        <f t="shared" si="24"/>
        <v/>
      </c>
      <c r="Q92" s="68">
        <f t="shared" si="25"/>
        <v>0</v>
      </c>
      <c r="R92" s="102" t="str">
        <f t="shared" si="20"/>
        <v/>
      </c>
      <c r="V92" s="64">
        <v>37</v>
      </c>
      <c r="W92" s="51" t="s">
        <v>33</v>
      </c>
      <c r="X92" s="51" t="s">
        <v>273</v>
      </c>
    </row>
    <row r="93" spans="1:24" ht="16">
      <c r="A93" s="58" t="str">
        <f t="shared" si="21"/>
        <v/>
      </c>
      <c r="B93" s="58"/>
      <c r="C93" s="57"/>
      <c r="D93" s="58"/>
      <c r="E93" s="58"/>
      <c r="F93" s="58"/>
      <c r="G93" s="58"/>
      <c r="H93" s="58"/>
      <c r="I93" s="58"/>
      <c r="J93" s="58" t="str">
        <f t="shared" si="17"/>
        <v/>
      </c>
      <c r="K93" s="58" t="str">
        <f t="shared" si="18"/>
        <v/>
      </c>
      <c r="L93" s="59" t="str">
        <f>IF(C93="","",DATEDIF(C93,'Premium Table'!$B$6,"Y"))</f>
        <v/>
      </c>
      <c r="M93" s="59" t="str">
        <f t="shared" si="22"/>
        <v/>
      </c>
      <c r="N93" s="59" t="str">
        <f t="shared" si="19"/>
        <v/>
      </c>
      <c r="O93" s="102" t="str">
        <f t="shared" si="23"/>
        <v/>
      </c>
      <c r="P93" s="102" t="str">
        <f t="shared" si="24"/>
        <v/>
      </c>
      <c r="Q93" s="68">
        <f t="shared" si="25"/>
        <v>0</v>
      </c>
      <c r="R93" s="102" t="str">
        <f t="shared" si="20"/>
        <v/>
      </c>
      <c r="V93" s="64">
        <v>38</v>
      </c>
      <c r="W93" s="51" t="s">
        <v>33</v>
      </c>
      <c r="X93" s="51" t="s">
        <v>273</v>
      </c>
    </row>
    <row r="94" spans="1:24" ht="16">
      <c r="A94" s="58" t="str">
        <f t="shared" si="21"/>
        <v/>
      </c>
      <c r="B94" s="58"/>
      <c r="C94" s="57"/>
      <c r="D94" s="58"/>
      <c r="E94" s="58"/>
      <c r="F94" s="58"/>
      <c r="G94" s="58"/>
      <c r="H94" s="58"/>
      <c r="I94" s="58"/>
      <c r="J94" s="58" t="str">
        <f t="shared" si="17"/>
        <v/>
      </c>
      <c r="K94" s="58" t="str">
        <f t="shared" si="18"/>
        <v/>
      </c>
      <c r="L94" s="59" t="str">
        <f>IF(C94="","",DATEDIF(C94,'Premium Table'!$B$6,"Y"))</f>
        <v/>
      </c>
      <c r="M94" s="59" t="str">
        <f t="shared" si="22"/>
        <v/>
      </c>
      <c r="N94" s="59" t="str">
        <f t="shared" si="19"/>
        <v/>
      </c>
      <c r="O94" s="102" t="str">
        <f t="shared" si="23"/>
        <v/>
      </c>
      <c r="P94" s="102" t="str">
        <f t="shared" si="24"/>
        <v/>
      </c>
      <c r="Q94" s="68">
        <f t="shared" si="25"/>
        <v>0</v>
      </c>
      <c r="R94" s="102" t="str">
        <f t="shared" si="20"/>
        <v/>
      </c>
      <c r="V94" s="64">
        <v>39</v>
      </c>
      <c r="W94" s="51" t="s">
        <v>33</v>
      </c>
      <c r="X94" s="51" t="s">
        <v>273</v>
      </c>
    </row>
    <row r="95" spans="1:24" ht="16">
      <c r="A95" s="58" t="str">
        <f t="shared" si="21"/>
        <v/>
      </c>
      <c r="B95" s="58"/>
      <c r="C95" s="57"/>
      <c r="D95" s="58"/>
      <c r="E95" s="58"/>
      <c r="F95" s="58"/>
      <c r="G95" s="58"/>
      <c r="H95" s="58"/>
      <c r="I95" s="58"/>
      <c r="J95" s="58" t="str">
        <f t="shared" si="17"/>
        <v/>
      </c>
      <c r="K95" s="58" t="str">
        <f t="shared" si="18"/>
        <v/>
      </c>
      <c r="L95" s="59" t="str">
        <f>IF(C95="","",DATEDIF(C95,'Premium Table'!$B$6,"Y"))</f>
        <v/>
      </c>
      <c r="M95" s="59" t="str">
        <f t="shared" si="22"/>
        <v/>
      </c>
      <c r="N95" s="59" t="str">
        <f t="shared" si="19"/>
        <v/>
      </c>
      <c r="O95" s="102" t="str">
        <f t="shared" si="23"/>
        <v/>
      </c>
      <c r="P95" s="102" t="str">
        <f t="shared" si="24"/>
        <v/>
      </c>
      <c r="Q95" s="68">
        <f t="shared" si="25"/>
        <v>0</v>
      </c>
      <c r="R95" s="102" t="str">
        <f t="shared" si="20"/>
        <v/>
      </c>
      <c r="V95" s="64">
        <v>40</v>
      </c>
      <c r="W95" s="51" t="s">
        <v>33</v>
      </c>
      <c r="X95" s="51" t="s">
        <v>273</v>
      </c>
    </row>
    <row r="96" spans="1:24" ht="16">
      <c r="A96" s="58" t="str">
        <f t="shared" si="21"/>
        <v/>
      </c>
      <c r="B96" s="58"/>
      <c r="C96" s="57"/>
      <c r="D96" s="58"/>
      <c r="E96" s="58"/>
      <c r="F96" s="58"/>
      <c r="G96" s="58"/>
      <c r="H96" s="58"/>
      <c r="I96" s="58"/>
      <c r="J96" s="58" t="str">
        <f t="shared" si="17"/>
        <v/>
      </c>
      <c r="K96" s="58" t="str">
        <f t="shared" si="18"/>
        <v/>
      </c>
      <c r="L96" s="59" t="str">
        <f>IF(C96="","",DATEDIF(C96,'Premium Table'!$B$6,"Y"))</f>
        <v/>
      </c>
      <c r="M96" s="59" t="str">
        <f t="shared" si="22"/>
        <v/>
      </c>
      <c r="N96" s="59" t="str">
        <f t="shared" si="19"/>
        <v/>
      </c>
      <c r="O96" s="102" t="str">
        <f t="shared" si="23"/>
        <v/>
      </c>
      <c r="P96" s="102" t="str">
        <f t="shared" si="24"/>
        <v/>
      </c>
      <c r="Q96" s="68">
        <f t="shared" si="25"/>
        <v>0</v>
      </c>
      <c r="R96" s="102" t="str">
        <f t="shared" si="20"/>
        <v/>
      </c>
      <c r="V96" s="64">
        <v>41</v>
      </c>
      <c r="W96" s="51" t="s">
        <v>35</v>
      </c>
      <c r="X96" s="51" t="s">
        <v>277</v>
      </c>
    </row>
    <row r="97" spans="1:24" ht="16">
      <c r="A97" s="58" t="str">
        <f t="shared" si="21"/>
        <v/>
      </c>
      <c r="B97" s="58"/>
      <c r="C97" s="57"/>
      <c r="D97" s="58"/>
      <c r="E97" s="58"/>
      <c r="F97" s="58"/>
      <c r="G97" s="58"/>
      <c r="H97" s="58"/>
      <c r="I97" s="58"/>
      <c r="J97" s="58" t="str">
        <f t="shared" si="17"/>
        <v/>
      </c>
      <c r="K97" s="58" t="str">
        <f t="shared" si="18"/>
        <v/>
      </c>
      <c r="L97" s="59" t="str">
        <f>IF(C97="","",DATEDIF(C97,'Premium Table'!$B$6,"Y"))</f>
        <v/>
      </c>
      <c r="M97" s="59" t="str">
        <f t="shared" si="22"/>
        <v/>
      </c>
      <c r="N97" s="59" t="str">
        <f t="shared" si="19"/>
        <v/>
      </c>
      <c r="O97" s="102" t="str">
        <f t="shared" si="23"/>
        <v/>
      </c>
      <c r="P97" s="102" t="str">
        <f t="shared" si="24"/>
        <v/>
      </c>
      <c r="Q97" s="68">
        <f t="shared" si="25"/>
        <v>0</v>
      </c>
      <c r="R97" s="102" t="str">
        <f t="shared" si="20"/>
        <v/>
      </c>
      <c r="V97" s="64">
        <v>42</v>
      </c>
      <c r="W97" s="51" t="s">
        <v>35</v>
      </c>
      <c r="X97" s="51" t="s">
        <v>277</v>
      </c>
    </row>
    <row r="98" spans="1:24" ht="16">
      <c r="A98" s="58" t="str">
        <f t="shared" si="21"/>
        <v/>
      </c>
      <c r="B98" s="58"/>
      <c r="C98" s="57"/>
      <c r="D98" s="58"/>
      <c r="E98" s="58"/>
      <c r="F98" s="58"/>
      <c r="G98" s="58"/>
      <c r="H98" s="58"/>
      <c r="I98" s="58"/>
      <c r="J98" s="58" t="str">
        <f t="shared" si="17"/>
        <v/>
      </c>
      <c r="K98" s="58" t="str">
        <f t="shared" si="18"/>
        <v/>
      </c>
      <c r="L98" s="59" t="str">
        <f>IF(C98="","",DATEDIF(C98,'Premium Table'!$B$6,"Y"))</f>
        <v/>
      </c>
      <c r="M98" s="59" t="str">
        <f t="shared" si="22"/>
        <v/>
      </c>
      <c r="N98" s="59" t="str">
        <f t="shared" si="19"/>
        <v/>
      </c>
      <c r="O98" s="102" t="str">
        <f t="shared" si="23"/>
        <v/>
      </c>
      <c r="P98" s="102" t="str">
        <f t="shared" si="24"/>
        <v/>
      </c>
      <c r="Q98" s="68">
        <f t="shared" si="25"/>
        <v>0</v>
      </c>
      <c r="R98" s="102" t="str">
        <f t="shared" si="20"/>
        <v/>
      </c>
      <c r="V98" s="64">
        <v>43</v>
      </c>
      <c r="W98" s="51" t="s">
        <v>35</v>
      </c>
      <c r="X98" s="51" t="s">
        <v>277</v>
      </c>
    </row>
    <row r="99" spans="1:24" ht="16">
      <c r="A99" s="58" t="str">
        <f t="shared" si="21"/>
        <v/>
      </c>
      <c r="B99" s="58"/>
      <c r="C99" s="57"/>
      <c r="D99" s="58"/>
      <c r="E99" s="58"/>
      <c r="F99" s="58"/>
      <c r="G99" s="58"/>
      <c r="H99" s="58"/>
      <c r="I99" s="58"/>
      <c r="J99" s="58" t="str">
        <f t="shared" si="17"/>
        <v/>
      </c>
      <c r="K99" s="58" t="str">
        <f t="shared" si="18"/>
        <v/>
      </c>
      <c r="L99" s="59" t="str">
        <f>IF(C99="","",DATEDIF(C99,'Premium Table'!$B$6,"Y"))</f>
        <v/>
      </c>
      <c r="M99" s="59" t="str">
        <f t="shared" si="22"/>
        <v/>
      </c>
      <c r="N99" s="59" t="str">
        <f t="shared" si="19"/>
        <v/>
      </c>
      <c r="O99" s="102" t="str">
        <f t="shared" si="23"/>
        <v/>
      </c>
      <c r="P99" s="102" t="str">
        <f t="shared" si="24"/>
        <v/>
      </c>
      <c r="Q99" s="68">
        <f t="shared" si="25"/>
        <v>0</v>
      </c>
      <c r="R99" s="102" t="str">
        <f t="shared" si="20"/>
        <v/>
      </c>
      <c r="V99" s="64">
        <v>44</v>
      </c>
      <c r="W99" s="51" t="s">
        <v>35</v>
      </c>
      <c r="X99" s="51" t="s">
        <v>277</v>
      </c>
    </row>
    <row r="100" spans="1:24" ht="16">
      <c r="A100" s="58" t="str">
        <f t="shared" si="21"/>
        <v/>
      </c>
      <c r="B100" s="58"/>
      <c r="C100" s="57"/>
      <c r="D100" s="58"/>
      <c r="E100" s="58"/>
      <c r="F100" s="58"/>
      <c r="G100" s="58"/>
      <c r="H100" s="58"/>
      <c r="I100" s="58"/>
      <c r="J100" s="58" t="str">
        <f t="shared" si="17"/>
        <v/>
      </c>
      <c r="K100" s="58" t="str">
        <f t="shared" si="18"/>
        <v/>
      </c>
      <c r="L100" s="59" t="str">
        <f>IF(C100="","",DATEDIF(C100,'Premium Table'!$B$6,"Y"))</f>
        <v/>
      </c>
      <c r="M100" s="59" t="str">
        <f t="shared" si="22"/>
        <v/>
      </c>
      <c r="N100" s="59" t="str">
        <f t="shared" si="19"/>
        <v/>
      </c>
      <c r="O100" s="102" t="str">
        <f t="shared" si="23"/>
        <v/>
      </c>
      <c r="P100" s="102" t="str">
        <f t="shared" si="24"/>
        <v/>
      </c>
      <c r="Q100" s="68">
        <f t="shared" si="25"/>
        <v>0</v>
      </c>
      <c r="R100" s="102" t="str">
        <f t="shared" si="20"/>
        <v/>
      </c>
      <c r="V100" s="64">
        <v>45</v>
      </c>
      <c r="W100" s="51" t="s">
        <v>35</v>
      </c>
      <c r="X100" s="51" t="s">
        <v>277</v>
      </c>
    </row>
    <row r="101" spans="1:24" ht="16">
      <c r="A101" s="58" t="str">
        <f t="shared" si="21"/>
        <v/>
      </c>
      <c r="B101" s="58"/>
      <c r="C101" s="57"/>
      <c r="D101" s="58"/>
      <c r="E101" s="58"/>
      <c r="F101" s="58"/>
      <c r="G101" s="58"/>
      <c r="H101" s="58"/>
      <c r="I101" s="58"/>
      <c r="J101" s="58" t="str">
        <f t="shared" si="17"/>
        <v/>
      </c>
      <c r="K101" s="58" t="str">
        <f t="shared" si="18"/>
        <v/>
      </c>
      <c r="L101" s="59" t="str">
        <f>IF(C101="","",DATEDIF(C101,'Premium Table'!$B$6,"Y"))</f>
        <v/>
      </c>
      <c r="M101" s="59" t="str">
        <f t="shared" si="22"/>
        <v/>
      </c>
      <c r="N101" s="59" t="str">
        <f t="shared" si="19"/>
        <v/>
      </c>
      <c r="O101" s="102" t="str">
        <f t="shared" si="23"/>
        <v/>
      </c>
      <c r="P101" s="102" t="str">
        <f t="shared" si="24"/>
        <v/>
      </c>
      <c r="Q101" s="68">
        <f t="shared" si="25"/>
        <v>0</v>
      </c>
      <c r="R101" s="102" t="str">
        <f t="shared" si="20"/>
        <v/>
      </c>
      <c r="V101" s="64">
        <v>46</v>
      </c>
      <c r="W101" s="51" t="s">
        <v>37</v>
      </c>
      <c r="X101" s="51" t="s">
        <v>277</v>
      </c>
    </row>
    <row r="102" spans="1:24" ht="16">
      <c r="A102" s="58" t="str">
        <f t="shared" si="21"/>
        <v/>
      </c>
      <c r="B102" s="58"/>
      <c r="C102" s="57"/>
      <c r="D102" s="58"/>
      <c r="E102" s="58"/>
      <c r="F102" s="58"/>
      <c r="G102" s="58"/>
      <c r="H102" s="58"/>
      <c r="I102" s="58"/>
      <c r="J102" s="58" t="str">
        <f t="shared" si="17"/>
        <v/>
      </c>
      <c r="K102" s="58" t="str">
        <f t="shared" si="18"/>
        <v/>
      </c>
      <c r="L102" s="59" t="str">
        <f>IF(C102="","",DATEDIF(C102,'Premium Table'!$B$6,"Y"))</f>
        <v/>
      </c>
      <c r="M102" s="59" t="str">
        <f t="shared" si="22"/>
        <v/>
      </c>
      <c r="N102" s="59" t="str">
        <f t="shared" si="19"/>
        <v/>
      </c>
      <c r="O102" s="102" t="str">
        <f t="shared" si="23"/>
        <v/>
      </c>
      <c r="P102" s="102" t="str">
        <f t="shared" si="24"/>
        <v/>
      </c>
      <c r="Q102" s="68">
        <f t="shared" si="25"/>
        <v>0</v>
      </c>
      <c r="R102" s="102" t="str">
        <f t="shared" si="20"/>
        <v/>
      </c>
      <c r="V102" s="64">
        <v>47</v>
      </c>
      <c r="W102" s="51" t="s">
        <v>37</v>
      </c>
      <c r="X102" s="51" t="s">
        <v>277</v>
      </c>
    </row>
    <row r="103" spans="1:24" ht="16">
      <c r="A103" s="58" t="str">
        <f t="shared" si="21"/>
        <v/>
      </c>
      <c r="B103" s="58"/>
      <c r="C103" s="57"/>
      <c r="D103" s="58"/>
      <c r="E103" s="58"/>
      <c r="F103" s="58"/>
      <c r="G103" s="58"/>
      <c r="H103" s="58"/>
      <c r="I103" s="58"/>
      <c r="J103" s="58" t="str">
        <f t="shared" si="17"/>
        <v/>
      </c>
      <c r="K103" s="58" t="str">
        <f t="shared" si="18"/>
        <v/>
      </c>
      <c r="L103" s="59" t="str">
        <f>IF(C103="","",DATEDIF(C103,'Premium Table'!$B$6,"Y"))</f>
        <v/>
      </c>
      <c r="M103" s="59" t="str">
        <f t="shared" si="22"/>
        <v/>
      </c>
      <c r="N103" s="59" t="str">
        <f t="shared" si="19"/>
        <v/>
      </c>
      <c r="O103" s="102" t="str">
        <f t="shared" si="23"/>
        <v/>
      </c>
      <c r="P103" s="102" t="str">
        <f t="shared" si="24"/>
        <v/>
      </c>
      <c r="Q103" s="68">
        <f t="shared" si="25"/>
        <v>0</v>
      </c>
      <c r="R103" s="102" t="str">
        <f t="shared" si="20"/>
        <v/>
      </c>
      <c r="V103" s="64">
        <v>48</v>
      </c>
      <c r="W103" s="51" t="s">
        <v>37</v>
      </c>
      <c r="X103" s="51" t="s">
        <v>277</v>
      </c>
    </row>
    <row r="104" spans="1:24" ht="16">
      <c r="A104" s="58" t="str">
        <f t="shared" si="21"/>
        <v/>
      </c>
      <c r="B104" s="58"/>
      <c r="C104" s="57"/>
      <c r="D104" s="58"/>
      <c r="E104" s="58"/>
      <c r="F104" s="58"/>
      <c r="G104" s="58"/>
      <c r="H104" s="58"/>
      <c r="I104" s="58"/>
      <c r="J104" s="58" t="str">
        <f t="shared" si="17"/>
        <v/>
      </c>
      <c r="K104" s="58" t="str">
        <f t="shared" si="18"/>
        <v/>
      </c>
      <c r="L104" s="59" t="str">
        <f>IF(C104="","",DATEDIF(C104,'Premium Table'!$B$6,"Y"))</f>
        <v/>
      </c>
      <c r="M104" s="59" t="str">
        <f t="shared" si="22"/>
        <v/>
      </c>
      <c r="N104" s="59" t="str">
        <f t="shared" si="19"/>
        <v/>
      </c>
      <c r="O104" s="102" t="str">
        <f t="shared" si="23"/>
        <v/>
      </c>
      <c r="P104" s="102" t="str">
        <f t="shared" si="24"/>
        <v/>
      </c>
      <c r="Q104" s="68">
        <f t="shared" si="25"/>
        <v>0</v>
      </c>
      <c r="R104" s="102" t="str">
        <f t="shared" si="20"/>
        <v/>
      </c>
      <c r="V104" s="64">
        <v>49</v>
      </c>
      <c r="W104" s="51" t="s">
        <v>37</v>
      </c>
      <c r="X104" s="51" t="s">
        <v>277</v>
      </c>
    </row>
    <row r="105" spans="1:24" ht="16">
      <c r="A105" s="58" t="str">
        <f t="shared" si="21"/>
        <v/>
      </c>
      <c r="B105" s="58"/>
      <c r="C105" s="57"/>
      <c r="D105" s="58"/>
      <c r="E105" s="58"/>
      <c r="F105" s="58"/>
      <c r="G105" s="58"/>
      <c r="H105" s="58"/>
      <c r="I105" s="58"/>
      <c r="J105" s="58" t="str">
        <f t="shared" si="17"/>
        <v/>
      </c>
      <c r="K105" s="58" t="str">
        <f t="shared" si="18"/>
        <v/>
      </c>
      <c r="L105" s="59" t="str">
        <f>IF(C105="","",DATEDIF(C105,'Premium Table'!$B$6,"Y"))</f>
        <v/>
      </c>
      <c r="M105" s="59" t="str">
        <f t="shared" si="22"/>
        <v/>
      </c>
      <c r="N105" s="59" t="str">
        <f t="shared" si="19"/>
        <v/>
      </c>
      <c r="O105" s="102" t="str">
        <f t="shared" si="23"/>
        <v/>
      </c>
      <c r="P105" s="102" t="str">
        <f t="shared" si="24"/>
        <v/>
      </c>
      <c r="Q105" s="68">
        <f t="shared" si="25"/>
        <v>0</v>
      </c>
      <c r="R105" s="102" t="str">
        <f t="shared" si="20"/>
        <v/>
      </c>
      <c r="V105" s="64">
        <v>50</v>
      </c>
      <c r="W105" s="51" t="s">
        <v>37</v>
      </c>
      <c r="X105" s="51" t="s">
        <v>277</v>
      </c>
    </row>
    <row r="106" spans="1:24" ht="16">
      <c r="A106" s="58" t="str">
        <f t="shared" si="21"/>
        <v/>
      </c>
      <c r="B106" s="58"/>
      <c r="C106" s="57"/>
      <c r="D106" s="58"/>
      <c r="E106" s="58"/>
      <c r="F106" s="58"/>
      <c r="G106" s="58"/>
      <c r="H106" s="58"/>
      <c r="I106" s="58"/>
      <c r="J106" s="58" t="str">
        <f t="shared" si="17"/>
        <v/>
      </c>
      <c r="K106" s="58" t="str">
        <f t="shared" si="18"/>
        <v/>
      </c>
      <c r="L106" s="59" t="str">
        <f>IF(C106="","",DATEDIF(C106,'Premium Table'!$B$6,"Y"))</f>
        <v/>
      </c>
      <c r="M106" s="59" t="str">
        <f t="shared" si="22"/>
        <v/>
      </c>
      <c r="N106" s="59" t="str">
        <f t="shared" si="19"/>
        <v/>
      </c>
      <c r="O106" s="102" t="str">
        <f t="shared" si="23"/>
        <v/>
      </c>
      <c r="P106" s="102" t="str">
        <f t="shared" si="24"/>
        <v/>
      </c>
      <c r="Q106" s="68">
        <f t="shared" si="25"/>
        <v>0</v>
      </c>
      <c r="R106" s="102" t="str">
        <f t="shared" si="20"/>
        <v/>
      </c>
      <c r="V106" s="64">
        <v>51</v>
      </c>
      <c r="W106" s="51" t="s">
        <v>39</v>
      </c>
      <c r="X106" s="51" t="s">
        <v>277</v>
      </c>
    </row>
    <row r="107" spans="1:24" ht="16">
      <c r="A107" s="58" t="str">
        <f t="shared" si="21"/>
        <v/>
      </c>
      <c r="B107" s="58"/>
      <c r="C107" s="57"/>
      <c r="D107" s="58"/>
      <c r="E107" s="58"/>
      <c r="F107" s="58"/>
      <c r="G107" s="58"/>
      <c r="H107" s="58"/>
      <c r="I107" s="58"/>
      <c r="J107" s="58" t="str">
        <f t="shared" si="17"/>
        <v/>
      </c>
      <c r="K107" s="58" t="str">
        <f t="shared" si="18"/>
        <v/>
      </c>
      <c r="L107" s="59" t="str">
        <f>IF(C107="","",DATEDIF(C107,'Premium Table'!$B$6,"Y"))</f>
        <v/>
      </c>
      <c r="M107" s="59" t="str">
        <f t="shared" si="22"/>
        <v/>
      </c>
      <c r="N107" s="59" t="str">
        <f t="shared" si="19"/>
        <v/>
      </c>
      <c r="O107" s="102" t="str">
        <f t="shared" si="23"/>
        <v/>
      </c>
      <c r="P107" s="102" t="str">
        <f t="shared" si="24"/>
        <v/>
      </c>
      <c r="Q107" s="68">
        <f t="shared" si="25"/>
        <v>0</v>
      </c>
      <c r="R107" s="102" t="str">
        <f t="shared" si="20"/>
        <v/>
      </c>
      <c r="V107" s="64">
        <v>52</v>
      </c>
      <c r="W107" s="51" t="s">
        <v>39</v>
      </c>
      <c r="X107" s="51" t="s">
        <v>277</v>
      </c>
    </row>
    <row r="108" spans="1:24" ht="16">
      <c r="A108" s="58" t="str">
        <f t="shared" si="21"/>
        <v/>
      </c>
      <c r="B108" s="58"/>
      <c r="C108" s="57"/>
      <c r="D108" s="58"/>
      <c r="E108" s="58"/>
      <c r="F108" s="58"/>
      <c r="G108" s="58"/>
      <c r="H108" s="58"/>
      <c r="I108" s="58"/>
      <c r="J108" s="58" t="str">
        <f t="shared" si="17"/>
        <v/>
      </c>
      <c r="K108" s="58" t="str">
        <f t="shared" si="18"/>
        <v/>
      </c>
      <c r="L108" s="59" t="str">
        <f>IF(C108="","",DATEDIF(C108,'Premium Table'!$B$6,"Y"))</f>
        <v/>
      </c>
      <c r="M108" s="59" t="str">
        <f t="shared" si="22"/>
        <v/>
      </c>
      <c r="N108" s="59" t="str">
        <f t="shared" si="19"/>
        <v/>
      </c>
      <c r="O108" s="102" t="str">
        <f t="shared" si="23"/>
        <v/>
      </c>
      <c r="P108" s="102" t="str">
        <f t="shared" si="24"/>
        <v/>
      </c>
      <c r="Q108" s="68">
        <f t="shared" si="25"/>
        <v>0</v>
      </c>
      <c r="R108" s="102" t="str">
        <f t="shared" si="20"/>
        <v/>
      </c>
      <c r="V108" s="64">
        <v>53</v>
      </c>
      <c r="W108" s="51" t="s">
        <v>39</v>
      </c>
      <c r="X108" s="51" t="s">
        <v>277</v>
      </c>
    </row>
    <row r="109" spans="1:24" ht="16">
      <c r="A109" s="58" t="str">
        <f t="shared" si="21"/>
        <v/>
      </c>
      <c r="B109" s="58"/>
      <c r="C109" s="57"/>
      <c r="D109" s="58"/>
      <c r="E109" s="58"/>
      <c r="F109" s="58"/>
      <c r="G109" s="58"/>
      <c r="H109" s="58"/>
      <c r="I109" s="58"/>
      <c r="J109" s="58" t="str">
        <f t="shared" si="17"/>
        <v/>
      </c>
      <c r="K109" s="58" t="str">
        <f t="shared" si="18"/>
        <v/>
      </c>
      <c r="L109" s="59" t="str">
        <f>IF(C109="","",DATEDIF(C109,'Premium Table'!$B$6,"Y"))</f>
        <v/>
      </c>
      <c r="M109" s="59" t="str">
        <f t="shared" si="22"/>
        <v/>
      </c>
      <c r="N109" s="59" t="str">
        <f t="shared" si="19"/>
        <v/>
      </c>
      <c r="O109" s="102" t="str">
        <f t="shared" si="23"/>
        <v/>
      </c>
      <c r="P109" s="102" t="str">
        <f t="shared" si="24"/>
        <v/>
      </c>
      <c r="Q109" s="68">
        <f t="shared" si="25"/>
        <v>0</v>
      </c>
      <c r="R109" s="102" t="str">
        <f t="shared" si="20"/>
        <v/>
      </c>
      <c r="V109" s="64">
        <v>54</v>
      </c>
      <c r="W109" s="51" t="s">
        <v>39</v>
      </c>
      <c r="X109" s="51" t="s">
        <v>277</v>
      </c>
    </row>
    <row r="110" spans="1:24" ht="16">
      <c r="A110" s="58" t="str">
        <f t="shared" si="21"/>
        <v/>
      </c>
      <c r="B110" s="58"/>
      <c r="C110" s="57"/>
      <c r="D110" s="58"/>
      <c r="E110" s="58"/>
      <c r="F110" s="58"/>
      <c r="G110" s="58"/>
      <c r="H110" s="58"/>
      <c r="I110" s="58"/>
      <c r="J110" s="58" t="str">
        <f t="shared" si="17"/>
        <v/>
      </c>
      <c r="K110" s="58" t="str">
        <f t="shared" si="18"/>
        <v/>
      </c>
      <c r="L110" s="59" t="str">
        <f>IF(C110="","",DATEDIF(C110,'Premium Table'!$B$6,"Y"))</f>
        <v/>
      </c>
      <c r="M110" s="59" t="str">
        <f t="shared" si="22"/>
        <v/>
      </c>
      <c r="N110" s="59" t="str">
        <f t="shared" si="19"/>
        <v/>
      </c>
      <c r="O110" s="102" t="str">
        <f t="shared" si="23"/>
        <v/>
      </c>
      <c r="P110" s="102" t="str">
        <f t="shared" si="24"/>
        <v/>
      </c>
      <c r="Q110" s="68">
        <f t="shared" si="25"/>
        <v>0</v>
      </c>
      <c r="R110" s="102" t="str">
        <f t="shared" si="20"/>
        <v/>
      </c>
      <c r="V110" s="64">
        <v>55</v>
      </c>
      <c r="W110" s="51" t="s">
        <v>39</v>
      </c>
      <c r="X110" s="51" t="s">
        <v>277</v>
      </c>
    </row>
    <row r="111" spans="1:24" ht="16">
      <c r="A111" s="58" t="str">
        <f t="shared" si="21"/>
        <v/>
      </c>
      <c r="B111" s="58"/>
      <c r="C111" s="57"/>
      <c r="D111" s="58"/>
      <c r="E111" s="58"/>
      <c r="F111" s="58"/>
      <c r="G111" s="58"/>
      <c r="H111" s="58"/>
      <c r="I111" s="58"/>
      <c r="J111" s="58" t="str">
        <f t="shared" si="17"/>
        <v/>
      </c>
      <c r="K111" s="58" t="str">
        <f t="shared" si="18"/>
        <v/>
      </c>
      <c r="L111" s="59" t="str">
        <f>IF(C111="","",DATEDIF(C111,'Premium Table'!$B$6,"Y"))</f>
        <v/>
      </c>
      <c r="M111" s="59" t="str">
        <f t="shared" si="22"/>
        <v/>
      </c>
      <c r="N111" s="59" t="str">
        <f t="shared" si="19"/>
        <v/>
      </c>
      <c r="O111" s="102" t="str">
        <f t="shared" si="23"/>
        <v/>
      </c>
      <c r="P111" s="102" t="str">
        <f t="shared" si="24"/>
        <v/>
      </c>
      <c r="Q111" s="68">
        <f t="shared" si="25"/>
        <v>0</v>
      </c>
      <c r="R111" s="102" t="str">
        <f t="shared" si="20"/>
        <v/>
      </c>
      <c r="V111" s="64">
        <v>56</v>
      </c>
      <c r="W111" s="51" t="s">
        <v>41</v>
      </c>
      <c r="X111" s="51" t="s">
        <v>277</v>
      </c>
    </row>
    <row r="112" spans="1:24" ht="16">
      <c r="A112" s="58" t="str">
        <f t="shared" si="21"/>
        <v/>
      </c>
      <c r="B112" s="58"/>
      <c r="C112" s="57"/>
      <c r="D112" s="58"/>
      <c r="E112" s="58"/>
      <c r="F112" s="58"/>
      <c r="G112" s="58"/>
      <c r="H112" s="58"/>
      <c r="I112" s="58"/>
      <c r="J112" s="58" t="str">
        <f t="shared" si="17"/>
        <v/>
      </c>
      <c r="K112" s="58" t="str">
        <f t="shared" si="18"/>
        <v/>
      </c>
      <c r="L112" s="59" t="str">
        <f>IF(C112="","",DATEDIF(C112,'Premium Table'!$B$6,"Y"))</f>
        <v/>
      </c>
      <c r="M112" s="59" t="str">
        <f t="shared" si="22"/>
        <v/>
      </c>
      <c r="N112" s="59" t="str">
        <f t="shared" si="19"/>
        <v/>
      </c>
      <c r="O112" s="102" t="str">
        <f t="shared" si="23"/>
        <v/>
      </c>
      <c r="P112" s="102" t="str">
        <f t="shared" si="24"/>
        <v/>
      </c>
      <c r="Q112" s="68">
        <f t="shared" si="25"/>
        <v>0</v>
      </c>
      <c r="R112" s="102" t="str">
        <f t="shared" si="20"/>
        <v/>
      </c>
      <c r="V112" s="64">
        <v>57</v>
      </c>
      <c r="W112" s="51" t="s">
        <v>41</v>
      </c>
      <c r="X112" s="51" t="s">
        <v>277</v>
      </c>
    </row>
    <row r="113" spans="1:24" ht="16">
      <c r="A113" s="58" t="str">
        <f t="shared" si="21"/>
        <v/>
      </c>
      <c r="B113" s="58"/>
      <c r="C113" s="57"/>
      <c r="D113" s="58"/>
      <c r="E113" s="58"/>
      <c r="F113" s="58"/>
      <c r="G113" s="58"/>
      <c r="H113" s="58"/>
      <c r="I113" s="58"/>
      <c r="J113" s="58" t="str">
        <f t="shared" si="17"/>
        <v/>
      </c>
      <c r="K113" s="58" t="str">
        <f t="shared" si="18"/>
        <v/>
      </c>
      <c r="L113" s="59" t="str">
        <f>IF(C113="","",DATEDIF(C113,'Premium Table'!$B$6,"Y"))</f>
        <v/>
      </c>
      <c r="M113" s="59" t="str">
        <f t="shared" si="22"/>
        <v/>
      </c>
      <c r="N113" s="59" t="str">
        <f t="shared" si="19"/>
        <v/>
      </c>
      <c r="O113" s="102" t="str">
        <f t="shared" si="23"/>
        <v/>
      </c>
      <c r="P113" s="102" t="str">
        <f t="shared" si="24"/>
        <v/>
      </c>
      <c r="Q113" s="68">
        <f t="shared" si="25"/>
        <v>0</v>
      </c>
      <c r="R113" s="102" t="str">
        <f t="shared" si="20"/>
        <v/>
      </c>
      <c r="V113" s="64">
        <v>58</v>
      </c>
      <c r="W113" s="51" t="s">
        <v>41</v>
      </c>
      <c r="X113" s="51" t="s">
        <v>277</v>
      </c>
    </row>
    <row r="114" spans="1:24" ht="16">
      <c r="A114" s="58" t="str">
        <f t="shared" si="21"/>
        <v/>
      </c>
      <c r="B114" s="58"/>
      <c r="C114" s="57"/>
      <c r="D114" s="58"/>
      <c r="E114" s="58"/>
      <c r="F114" s="58"/>
      <c r="G114" s="58"/>
      <c r="H114" s="58"/>
      <c r="I114" s="58"/>
      <c r="J114" s="58" t="str">
        <f t="shared" si="17"/>
        <v/>
      </c>
      <c r="K114" s="58" t="str">
        <f t="shared" si="18"/>
        <v/>
      </c>
      <c r="L114" s="59" t="str">
        <f>IF(C114="","",DATEDIF(C114,'Premium Table'!$B$6,"Y"))</f>
        <v/>
      </c>
      <c r="M114" s="59" t="str">
        <f t="shared" si="22"/>
        <v/>
      </c>
      <c r="N114" s="59" t="str">
        <f t="shared" si="19"/>
        <v/>
      </c>
      <c r="O114" s="102" t="str">
        <f t="shared" si="23"/>
        <v/>
      </c>
      <c r="P114" s="102" t="str">
        <f t="shared" si="24"/>
        <v/>
      </c>
      <c r="Q114" s="68">
        <f t="shared" si="25"/>
        <v>0</v>
      </c>
      <c r="R114" s="102" t="str">
        <f t="shared" si="20"/>
        <v/>
      </c>
      <c r="V114" s="64">
        <v>59</v>
      </c>
      <c r="W114" s="51" t="s">
        <v>41</v>
      </c>
      <c r="X114" s="51" t="s">
        <v>277</v>
      </c>
    </row>
    <row r="115" spans="1:24" ht="16">
      <c r="A115" s="58" t="str">
        <f t="shared" si="21"/>
        <v/>
      </c>
      <c r="B115" s="58"/>
      <c r="C115" s="57"/>
      <c r="D115" s="58"/>
      <c r="E115" s="58"/>
      <c r="F115" s="58"/>
      <c r="G115" s="58"/>
      <c r="H115" s="58"/>
      <c r="I115" s="58"/>
      <c r="J115" s="58" t="str">
        <f t="shared" si="17"/>
        <v/>
      </c>
      <c r="K115" s="58" t="str">
        <f t="shared" si="18"/>
        <v/>
      </c>
      <c r="L115" s="59" t="str">
        <f>IF(C115="","",DATEDIF(C115,'Premium Table'!$B$6,"Y"))</f>
        <v/>
      </c>
      <c r="M115" s="59" t="str">
        <f t="shared" si="22"/>
        <v/>
      </c>
      <c r="N115" s="59" t="str">
        <f t="shared" si="19"/>
        <v/>
      </c>
      <c r="O115" s="102" t="str">
        <f t="shared" si="23"/>
        <v/>
      </c>
      <c r="P115" s="102" t="str">
        <f t="shared" si="24"/>
        <v/>
      </c>
      <c r="Q115" s="68">
        <f t="shared" si="25"/>
        <v>0</v>
      </c>
      <c r="R115" s="102" t="str">
        <f t="shared" si="20"/>
        <v/>
      </c>
      <c r="V115" s="64">
        <v>60</v>
      </c>
      <c r="W115" s="51" t="s">
        <v>43</v>
      </c>
      <c r="X115" s="51" t="s">
        <v>43</v>
      </c>
    </row>
    <row r="116" spans="1:24" ht="16">
      <c r="A116" s="58" t="str">
        <f t="shared" si="21"/>
        <v/>
      </c>
      <c r="B116" s="58"/>
      <c r="C116" s="57"/>
      <c r="D116" s="58"/>
      <c r="E116" s="58"/>
      <c r="F116" s="58"/>
      <c r="G116" s="58"/>
      <c r="H116" s="58"/>
      <c r="I116" s="58"/>
      <c r="J116" s="58" t="str">
        <f t="shared" si="17"/>
        <v/>
      </c>
      <c r="K116" s="58" t="str">
        <f t="shared" si="18"/>
        <v/>
      </c>
      <c r="L116" s="59" t="str">
        <f>IF(C116="","",DATEDIF(C116,'Premium Table'!$B$6,"Y"))</f>
        <v/>
      </c>
      <c r="M116" s="59" t="str">
        <f t="shared" si="22"/>
        <v/>
      </c>
      <c r="N116" s="59" t="str">
        <f t="shared" si="19"/>
        <v/>
      </c>
      <c r="O116" s="102" t="str">
        <f t="shared" si="23"/>
        <v/>
      </c>
      <c r="P116" s="102" t="str">
        <f t="shared" si="24"/>
        <v/>
      </c>
      <c r="Q116" s="68">
        <f t="shared" si="25"/>
        <v>0</v>
      </c>
      <c r="R116" s="102" t="str">
        <f t="shared" si="20"/>
        <v/>
      </c>
      <c r="V116" s="64">
        <v>61</v>
      </c>
      <c r="W116" s="51" t="s">
        <v>43</v>
      </c>
      <c r="X116" s="51" t="s">
        <v>43</v>
      </c>
    </row>
    <row r="117" spans="1:24" ht="16">
      <c r="A117" s="58" t="str">
        <f t="shared" si="21"/>
        <v/>
      </c>
      <c r="B117" s="58"/>
      <c r="C117" s="57"/>
      <c r="D117" s="58"/>
      <c r="E117" s="58"/>
      <c r="F117" s="58"/>
      <c r="G117" s="58"/>
      <c r="H117" s="58"/>
      <c r="I117" s="58"/>
      <c r="J117" s="58" t="str">
        <f t="shared" si="17"/>
        <v/>
      </c>
      <c r="K117" s="58" t="str">
        <f t="shared" si="18"/>
        <v/>
      </c>
      <c r="L117" s="59" t="str">
        <f>IF(C117="","",DATEDIF(C117,'Premium Table'!$B$6,"Y"))</f>
        <v/>
      </c>
      <c r="M117" s="59" t="str">
        <f t="shared" si="22"/>
        <v/>
      </c>
      <c r="N117" s="59" t="str">
        <f t="shared" si="19"/>
        <v/>
      </c>
      <c r="O117" s="102" t="str">
        <f t="shared" si="23"/>
        <v/>
      </c>
      <c r="P117" s="102" t="str">
        <f t="shared" si="24"/>
        <v/>
      </c>
      <c r="Q117" s="68">
        <f t="shared" si="25"/>
        <v>0</v>
      </c>
      <c r="R117" s="102" t="str">
        <f t="shared" si="20"/>
        <v/>
      </c>
      <c r="V117" s="64">
        <v>62</v>
      </c>
      <c r="W117" s="51" t="s">
        <v>43</v>
      </c>
      <c r="X117" s="51" t="s">
        <v>43</v>
      </c>
    </row>
    <row r="118" spans="1:24" ht="16">
      <c r="A118" s="58" t="str">
        <f t="shared" si="21"/>
        <v/>
      </c>
      <c r="B118" s="58"/>
      <c r="C118" s="57"/>
      <c r="D118" s="58"/>
      <c r="E118" s="58"/>
      <c r="F118" s="58"/>
      <c r="G118" s="58"/>
      <c r="H118" s="58"/>
      <c r="I118" s="58"/>
      <c r="J118" s="58" t="str">
        <f t="shared" si="17"/>
        <v/>
      </c>
      <c r="K118" s="58" t="str">
        <f t="shared" si="18"/>
        <v/>
      </c>
      <c r="L118" s="59" t="str">
        <f>IF(C118="","",DATEDIF(C118,'Premium Table'!$B$6,"Y"))</f>
        <v/>
      </c>
      <c r="M118" s="59" t="str">
        <f t="shared" si="22"/>
        <v/>
      </c>
      <c r="N118" s="59" t="str">
        <f t="shared" si="19"/>
        <v/>
      </c>
      <c r="O118" s="102" t="str">
        <f t="shared" si="23"/>
        <v/>
      </c>
      <c r="P118" s="102" t="str">
        <f t="shared" si="24"/>
        <v/>
      </c>
      <c r="Q118" s="68">
        <f t="shared" si="25"/>
        <v>0</v>
      </c>
      <c r="R118" s="102" t="str">
        <f t="shared" si="20"/>
        <v/>
      </c>
      <c r="V118" s="64">
        <v>63</v>
      </c>
      <c r="W118" s="51" t="s">
        <v>43</v>
      </c>
      <c r="X118" s="51" t="s">
        <v>43</v>
      </c>
    </row>
    <row r="119" spans="1:24" ht="16">
      <c r="A119" s="58" t="str">
        <f t="shared" si="21"/>
        <v/>
      </c>
      <c r="B119" s="58"/>
      <c r="C119" s="57"/>
      <c r="D119" s="58"/>
      <c r="E119" s="58"/>
      <c r="F119" s="58"/>
      <c r="G119" s="58"/>
      <c r="H119" s="58"/>
      <c r="I119" s="58"/>
      <c r="J119" s="58" t="str">
        <f t="shared" si="17"/>
        <v/>
      </c>
      <c r="K119" s="58" t="str">
        <f t="shared" si="18"/>
        <v/>
      </c>
      <c r="L119" s="59" t="str">
        <f>IF(C119="","",DATEDIF(C119,'Premium Table'!$B$6,"Y"))</f>
        <v/>
      </c>
      <c r="M119" s="59" t="str">
        <f t="shared" si="22"/>
        <v/>
      </c>
      <c r="N119" s="59" t="str">
        <f t="shared" si="19"/>
        <v/>
      </c>
      <c r="O119" s="102" t="str">
        <f t="shared" si="23"/>
        <v/>
      </c>
      <c r="P119" s="102" t="str">
        <f t="shared" si="24"/>
        <v/>
      </c>
      <c r="Q119" s="68">
        <f t="shared" si="25"/>
        <v>0</v>
      </c>
      <c r="R119" s="102" t="str">
        <f t="shared" si="20"/>
        <v/>
      </c>
      <c r="V119" s="64">
        <v>64</v>
      </c>
      <c r="W119" s="51" t="s">
        <v>43</v>
      </c>
      <c r="X119" s="51" t="s">
        <v>43</v>
      </c>
    </row>
    <row r="120" spans="1:24" ht="16">
      <c r="A120" s="58" t="str">
        <f t="shared" si="21"/>
        <v/>
      </c>
      <c r="B120" s="58"/>
      <c r="C120" s="57"/>
      <c r="D120" s="58"/>
      <c r="E120" s="58"/>
      <c r="F120" s="58"/>
      <c r="G120" s="58"/>
      <c r="H120" s="58"/>
      <c r="I120" s="58"/>
      <c r="J120" s="58" t="str">
        <f t="shared" si="17"/>
        <v/>
      </c>
      <c r="K120" s="58" t="str">
        <f t="shared" si="18"/>
        <v/>
      </c>
      <c r="L120" s="59" t="str">
        <f>IF(C120="","",DATEDIF(C120,'Premium Table'!$B$6,"Y"))</f>
        <v/>
      </c>
      <c r="M120" s="59" t="str">
        <f t="shared" si="22"/>
        <v/>
      </c>
      <c r="N120" s="59" t="str">
        <f t="shared" si="19"/>
        <v/>
      </c>
      <c r="O120" s="102" t="str">
        <f t="shared" si="23"/>
        <v/>
      </c>
      <c r="P120" s="102" t="str">
        <f t="shared" si="24"/>
        <v/>
      </c>
      <c r="Q120" s="68">
        <f t="shared" si="25"/>
        <v>0</v>
      </c>
      <c r="R120" s="102" t="str">
        <f t="shared" si="20"/>
        <v/>
      </c>
      <c r="V120" s="64">
        <v>65</v>
      </c>
      <c r="W120" s="51" t="s">
        <v>45</v>
      </c>
      <c r="X120" s="51" t="s">
        <v>45</v>
      </c>
    </row>
    <row r="121" spans="1:24" ht="16">
      <c r="A121" s="58" t="str">
        <f t="shared" si="21"/>
        <v/>
      </c>
      <c r="B121" s="58"/>
      <c r="C121" s="57"/>
      <c r="D121" s="58"/>
      <c r="E121" s="58"/>
      <c r="F121" s="58"/>
      <c r="G121" s="58"/>
      <c r="H121" s="58"/>
      <c r="I121" s="58"/>
      <c r="J121" s="58" t="str">
        <f t="shared" si="17"/>
        <v/>
      </c>
      <c r="K121" s="58" t="str">
        <f t="shared" si="18"/>
        <v/>
      </c>
      <c r="L121" s="59" t="str">
        <f>IF(C121="","",DATEDIF(C121,'Premium Table'!$B$6,"Y"))</f>
        <v/>
      </c>
      <c r="M121" s="59" t="str">
        <f t="shared" si="22"/>
        <v/>
      </c>
      <c r="N121" s="59" t="str">
        <f t="shared" si="19"/>
        <v/>
      </c>
      <c r="O121" s="102" t="str">
        <f t="shared" si="23"/>
        <v/>
      </c>
      <c r="P121" s="102" t="str">
        <f t="shared" si="24"/>
        <v/>
      </c>
      <c r="Q121" s="68">
        <f t="shared" si="25"/>
        <v>0</v>
      </c>
      <c r="R121" s="102" t="str">
        <f t="shared" si="20"/>
        <v/>
      </c>
      <c r="V121" s="64">
        <v>66</v>
      </c>
      <c r="W121" s="51" t="s">
        <v>45</v>
      </c>
      <c r="X121" s="51" t="s">
        <v>45</v>
      </c>
    </row>
    <row r="122" spans="1:24" ht="16">
      <c r="A122" s="58" t="str">
        <f t="shared" si="21"/>
        <v/>
      </c>
      <c r="B122" s="58"/>
      <c r="C122" s="57"/>
      <c r="D122" s="58"/>
      <c r="E122" s="58"/>
      <c r="F122" s="58"/>
      <c r="G122" s="58"/>
      <c r="H122" s="58"/>
      <c r="I122" s="58"/>
      <c r="J122" s="58" t="str">
        <f t="shared" si="17"/>
        <v/>
      </c>
      <c r="K122" s="58" t="str">
        <f t="shared" si="18"/>
        <v/>
      </c>
      <c r="L122" s="59" t="str">
        <f>IF(C122="","",DATEDIF(C122,'Premium Table'!$B$6,"Y"))</f>
        <v/>
      </c>
      <c r="M122" s="59" t="str">
        <f t="shared" si="22"/>
        <v/>
      </c>
      <c r="N122" s="59" t="str">
        <f t="shared" si="19"/>
        <v/>
      </c>
      <c r="O122" s="102" t="str">
        <f t="shared" si="23"/>
        <v/>
      </c>
      <c r="P122" s="102" t="str">
        <f t="shared" si="24"/>
        <v/>
      </c>
      <c r="Q122" s="68">
        <f t="shared" si="25"/>
        <v>0</v>
      </c>
      <c r="R122" s="102" t="str">
        <f t="shared" si="20"/>
        <v/>
      </c>
      <c r="V122" s="64">
        <v>67</v>
      </c>
      <c r="W122" s="51" t="s">
        <v>45</v>
      </c>
      <c r="X122" s="51" t="s">
        <v>45</v>
      </c>
    </row>
    <row r="123" spans="1:24" ht="16">
      <c r="A123" s="58" t="str">
        <f t="shared" si="21"/>
        <v/>
      </c>
      <c r="B123" s="58"/>
      <c r="C123" s="57"/>
      <c r="D123" s="58"/>
      <c r="E123" s="58"/>
      <c r="F123" s="58"/>
      <c r="G123" s="58"/>
      <c r="H123" s="58"/>
      <c r="I123" s="58"/>
      <c r="J123" s="58" t="str">
        <f t="shared" si="17"/>
        <v/>
      </c>
      <c r="K123" s="58" t="str">
        <f t="shared" si="18"/>
        <v/>
      </c>
      <c r="L123" s="59" t="str">
        <f>IF(C123="","",DATEDIF(C123,'Premium Table'!$B$6,"Y"))</f>
        <v/>
      </c>
      <c r="M123" s="59" t="str">
        <f t="shared" si="22"/>
        <v/>
      </c>
      <c r="N123" s="59" t="str">
        <f t="shared" si="19"/>
        <v/>
      </c>
      <c r="O123" s="102" t="str">
        <f t="shared" si="23"/>
        <v/>
      </c>
      <c r="P123" s="102" t="str">
        <f t="shared" si="24"/>
        <v/>
      </c>
      <c r="Q123" s="68">
        <f t="shared" si="25"/>
        <v>0</v>
      </c>
      <c r="R123" s="102" t="str">
        <f t="shared" si="20"/>
        <v/>
      </c>
      <c r="V123" s="64">
        <v>68</v>
      </c>
      <c r="W123" s="51" t="s">
        <v>45</v>
      </c>
      <c r="X123" s="51" t="s">
        <v>45</v>
      </c>
    </row>
    <row r="124" spans="1:24" ht="16">
      <c r="A124" s="58" t="str">
        <f t="shared" si="21"/>
        <v/>
      </c>
      <c r="B124" s="58"/>
      <c r="C124" s="57"/>
      <c r="D124" s="58"/>
      <c r="E124" s="58"/>
      <c r="F124" s="58"/>
      <c r="G124" s="58"/>
      <c r="H124" s="58"/>
      <c r="I124" s="58"/>
      <c r="J124" s="58" t="str">
        <f t="shared" si="17"/>
        <v/>
      </c>
      <c r="K124" s="58" t="str">
        <f t="shared" si="18"/>
        <v/>
      </c>
      <c r="L124" s="59" t="str">
        <f>IF(C124="","",DATEDIF(C124,'Premium Table'!$B$6,"Y"))</f>
        <v/>
      </c>
      <c r="M124" s="59" t="str">
        <f t="shared" si="22"/>
        <v/>
      </c>
      <c r="N124" s="59" t="str">
        <f t="shared" si="19"/>
        <v/>
      </c>
      <c r="O124" s="102" t="str">
        <f t="shared" si="23"/>
        <v/>
      </c>
      <c r="P124" s="102" t="str">
        <f t="shared" si="24"/>
        <v/>
      </c>
      <c r="Q124" s="68">
        <f t="shared" si="25"/>
        <v>0</v>
      </c>
      <c r="R124" s="102" t="str">
        <f t="shared" si="20"/>
        <v/>
      </c>
      <c r="V124" s="64">
        <v>69</v>
      </c>
      <c r="W124" s="51" t="s">
        <v>45</v>
      </c>
      <c r="X124" s="51" t="s">
        <v>45</v>
      </c>
    </row>
    <row r="125" spans="1:24" ht="16">
      <c r="A125" s="58" t="str">
        <f t="shared" si="21"/>
        <v/>
      </c>
      <c r="B125" s="58"/>
      <c r="C125" s="57"/>
      <c r="D125" s="58"/>
      <c r="E125" s="58"/>
      <c r="F125" s="58"/>
      <c r="G125" s="58"/>
      <c r="H125" s="58"/>
      <c r="I125" s="58"/>
      <c r="J125" s="58" t="str">
        <f t="shared" si="17"/>
        <v/>
      </c>
      <c r="K125" s="58" t="str">
        <f t="shared" si="18"/>
        <v/>
      </c>
      <c r="L125" s="59" t="str">
        <f>IF(C125="","",DATEDIF(C125,'Premium Table'!$B$6,"Y"))</f>
        <v/>
      </c>
      <c r="M125" s="59" t="str">
        <f t="shared" si="22"/>
        <v/>
      </c>
      <c r="N125" s="59" t="str">
        <f t="shared" si="19"/>
        <v/>
      </c>
      <c r="O125" s="102" t="str">
        <f t="shared" si="23"/>
        <v/>
      </c>
      <c r="P125" s="102" t="str">
        <f t="shared" si="24"/>
        <v/>
      </c>
      <c r="Q125" s="68">
        <f t="shared" si="25"/>
        <v>0</v>
      </c>
      <c r="R125" s="102" t="str">
        <f t="shared" si="20"/>
        <v/>
      </c>
      <c r="V125" s="64">
        <v>70</v>
      </c>
      <c r="W125" s="51" t="s">
        <v>45</v>
      </c>
      <c r="X125" s="51" t="s">
        <v>45</v>
      </c>
    </row>
    <row r="126" spans="1:24" ht="16">
      <c r="A126" s="58" t="str">
        <f t="shared" si="21"/>
        <v/>
      </c>
      <c r="B126" s="58"/>
      <c r="C126" s="57"/>
      <c r="D126" s="58"/>
      <c r="E126" s="58"/>
      <c r="F126" s="58"/>
      <c r="G126" s="58"/>
      <c r="H126" s="58"/>
      <c r="I126" s="58"/>
      <c r="J126" s="58" t="str">
        <f t="shared" si="17"/>
        <v/>
      </c>
      <c r="K126" s="58" t="str">
        <f t="shared" si="18"/>
        <v/>
      </c>
      <c r="L126" s="59" t="str">
        <f>IF(C126="","",DATEDIF(C126,'Premium Table'!$B$6,"Y"))</f>
        <v/>
      </c>
      <c r="M126" s="59" t="str">
        <f t="shared" si="22"/>
        <v/>
      </c>
      <c r="N126" s="59" t="str">
        <f t="shared" si="19"/>
        <v/>
      </c>
      <c r="O126" s="102" t="str">
        <f t="shared" si="23"/>
        <v/>
      </c>
      <c r="P126" s="102" t="str">
        <f t="shared" si="24"/>
        <v/>
      </c>
      <c r="Q126" s="68">
        <f t="shared" si="25"/>
        <v>0</v>
      </c>
      <c r="R126" s="102" t="str">
        <f t="shared" si="20"/>
        <v/>
      </c>
      <c r="V126" s="64">
        <v>71</v>
      </c>
      <c r="W126" s="51" t="s">
        <v>45</v>
      </c>
      <c r="X126" s="51" t="s">
        <v>45</v>
      </c>
    </row>
    <row r="127" spans="1:24" ht="16">
      <c r="A127" s="58" t="str">
        <f t="shared" si="21"/>
        <v/>
      </c>
      <c r="B127" s="58"/>
      <c r="C127" s="57"/>
      <c r="D127" s="58"/>
      <c r="E127" s="58"/>
      <c r="F127" s="58"/>
      <c r="G127" s="58"/>
      <c r="H127" s="58"/>
      <c r="I127" s="58"/>
      <c r="J127" s="58" t="str">
        <f t="shared" si="17"/>
        <v/>
      </c>
      <c r="K127" s="58" t="str">
        <f t="shared" si="18"/>
        <v/>
      </c>
      <c r="L127" s="59" t="str">
        <f>IF(C127="","",DATEDIF(C127,'Premium Table'!$B$6,"Y"))</f>
        <v/>
      </c>
      <c r="M127" s="59" t="str">
        <f t="shared" si="22"/>
        <v/>
      </c>
      <c r="N127" s="59" t="str">
        <f t="shared" si="19"/>
        <v/>
      </c>
      <c r="O127" s="102" t="str">
        <f t="shared" si="23"/>
        <v/>
      </c>
      <c r="P127" s="102" t="str">
        <f t="shared" si="24"/>
        <v/>
      </c>
      <c r="Q127" s="68">
        <f t="shared" si="25"/>
        <v>0</v>
      </c>
      <c r="R127" s="102" t="str">
        <f t="shared" si="20"/>
        <v/>
      </c>
      <c r="V127" s="64">
        <v>72</v>
      </c>
      <c r="W127" s="51" t="s">
        <v>45</v>
      </c>
      <c r="X127" s="51" t="s">
        <v>45</v>
      </c>
    </row>
    <row r="128" spans="1:24" ht="16">
      <c r="A128" s="58" t="str">
        <f t="shared" si="21"/>
        <v/>
      </c>
      <c r="B128" s="58"/>
      <c r="C128" s="57"/>
      <c r="D128" s="58"/>
      <c r="E128" s="58"/>
      <c r="F128" s="58"/>
      <c r="G128" s="58"/>
      <c r="H128" s="58"/>
      <c r="I128" s="58"/>
      <c r="J128" s="58" t="str">
        <f t="shared" si="17"/>
        <v/>
      </c>
      <c r="K128" s="58" t="str">
        <f t="shared" si="18"/>
        <v/>
      </c>
      <c r="L128" s="59" t="str">
        <f>IF(C128="","",DATEDIF(C128,'Premium Table'!$B$6,"Y"))</f>
        <v/>
      </c>
      <c r="M128" s="59" t="str">
        <f t="shared" si="22"/>
        <v/>
      </c>
      <c r="N128" s="59" t="str">
        <f t="shared" si="19"/>
        <v/>
      </c>
      <c r="O128" s="102" t="str">
        <f t="shared" si="23"/>
        <v/>
      </c>
      <c r="P128" s="102" t="str">
        <f t="shared" si="24"/>
        <v/>
      </c>
      <c r="Q128" s="68">
        <f t="shared" si="25"/>
        <v>0</v>
      </c>
      <c r="R128" s="102" t="str">
        <f t="shared" si="20"/>
        <v/>
      </c>
      <c r="V128" s="64">
        <v>73</v>
      </c>
      <c r="W128" s="51" t="s">
        <v>45</v>
      </c>
      <c r="X128" s="51" t="s">
        <v>45</v>
      </c>
    </row>
    <row r="129" spans="1:24" ht="16">
      <c r="A129" s="58" t="str">
        <f t="shared" si="21"/>
        <v/>
      </c>
      <c r="B129" s="58"/>
      <c r="C129" s="57"/>
      <c r="D129" s="58"/>
      <c r="E129" s="58"/>
      <c r="F129" s="58"/>
      <c r="G129" s="58"/>
      <c r="H129" s="58"/>
      <c r="I129" s="58"/>
      <c r="J129" s="58" t="str">
        <f t="shared" si="17"/>
        <v/>
      </c>
      <c r="K129" s="58" t="str">
        <f t="shared" si="18"/>
        <v/>
      </c>
      <c r="L129" s="59" t="str">
        <f>IF(C129="","",DATEDIF(C129,'Premium Table'!$B$6,"Y"))</f>
        <v/>
      </c>
      <c r="M129" s="59" t="str">
        <f t="shared" si="22"/>
        <v/>
      </c>
      <c r="N129" s="59" t="str">
        <f t="shared" si="19"/>
        <v/>
      </c>
      <c r="O129" s="102" t="str">
        <f t="shared" si="23"/>
        <v/>
      </c>
      <c r="P129" s="102" t="str">
        <f t="shared" si="24"/>
        <v/>
      </c>
      <c r="Q129" s="68">
        <f t="shared" si="25"/>
        <v>0</v>
      </c>
      <c r="R129" s="102" t="str">
        <f t="shared" si="20"/>
        <v/>
      </c>
      <c r="V129" s="64">
        <v>74</v>
      </c>
      <c r="W129" s="51" t="s">
        <v>45</v>
      </c>
      <c r="X129" s="51" t="s">
        <v>45</v>
      </c>
    </row>
    <row r="130" spans="1:24" ht="16">
      <c r="A130" s="58" t="str">
        <f t="shared" si="21"/>
        <v/>
      </c>
      <c r="B130" s="58"/>
      <c r="C130" s="57"/>
      <c r="D130" s="58"/>
      <c r="E130" s="58"/>
      <c r="F130" s="58"/>
      <c r="G130" s="58"/>
      <c r="H130" s="58"/>
      <c r="I130" s="58"/>
      <c r="J130" s="58" t="str">
        <f t="shared" si="17"/>
        <v/>
      </c>
      <c r="K130" s="58" t="str">
        <f t="shared" si="18"/>
        <v/>
      </c>
      <c r="L130" s="59" t="str">
        <f>IF(C130="","",DATEDIF(C130,'Premium Table'!$B$6,"Y"))</f>
        <v/>
      </c>
      <c r="M130" s="59" t="str">
        <f t="shared" si="22"/>
        <v/>
      </c>
      <c r="N130" s="59" t="str">
        <f t="shared" si="19"/>
        <v/>
      </c>
      <c r="O130" s="102" t="str">
        <f t="shared" si="23"/>
        <v/>
      </c>
      <c r="P130" s="102" t="str">
        <f t="shared" si="24"/>
        <v/>
      </c>
      <c r="Q130" s="68">
        <f t="shared" si="25"/>
        <v>0</v>
      </c>
      <c r="R130" s="102" t="str">
        <f t="shared" si="20"/>
        <v/>
      </c>
      <c r="V130" s="64">
        <v>75</v>
      </c>
      <c r="W130" s="51" t="s">
        <v>45</v>
      </c>
      <c r="X130" s="51" t="s">
        <v>45</v>
      </c>
    </row>
    <row r="131" spans="1:24" ht="16">
      <c r="A131" s="58" t="str">
        <f t="shared" si="21"/>
        <v/>
      </c>
      <c r="B131" s="58"/>
      <c r="C131" s="57"/>
      <c r="D131" s="58"/>
      <c r="E131" s="58"/>
      <c r="F131" s="58"/>
      <c r="G131" s="58"/>
      <c r="H131" s="58"/>
      <c r="I131" s="58"/>
      <c r="J131" s="58" t="str">
        <f t="shared" si="17"/>
        <v/>
      </c>
      <c r="K131" s="58" t="str">
        <f t="shared" si="18"/>
        <v/>
      </c>
      <c r="L131" s="59" t="str">
        <f>IF(C131="","",DATEDIF(C131,'Premium Table'!$B$6,"Y"))</f>
        <v/>
      </c>
      <c r="M131" s="59" t="str">
        <f t="shared" si="22"/>
        <v/>
      </c>
      <c r="N131" s="59" t="str">
        <f t="shared" si="19"/>
        <v/>
      </c>
      <c r="O131" s="102" t="str">
        <f t="shared" si="23"/>
        <v/>
      </c>
      <c r="P131" s="102" t="str">
        <f t="shared" si="24"/>
        <v/>
      </c>
      <c r="Q131" s="68">
        <f t="shared" si="25"/>
        <v>0</v>
      </c>
      <c r="R131" s="102" t="str">
        <f t="shared" si="20"/>
        <v/>
      </c>
      <c r="V131" s="64">
        <v>76</v>
      </c>
      <c r="W131" s="51" t="s">
        <v>45</v>
      </c>
      <c r="X131" s="51" t="s">
        <v>45</v>
      </c>
    </row>
    <row r="132" spans="1:24" ht="16">
      <c r="A132" s="58" t="str">
        <f t="shared" si="21"/>
        <v/>
      </c>
      <c r="B132" s="58"/>
      <c r="C132" s="57"/>
      <c r="D132" s="58"/>
      <c r="E132" s="58"/>
      <c r="F132" s="58"/>
      <c r="G132" s="58"/>
      <c r="H132" s="58"/>
      <c r="I132" s="58"/>
      <c r="J132" s="58" t="str">
        <f t="shared" si="17"/>
        <v/>
      </c>
      <c r="K132" s="58" t="str">
        <f t="shared" si="18"/>
        <v/>
      </c>
      <c r="L132" s="59" t="str">
        <f>IF(C132="","",DATEDIF(C132,'Premium Table'!$B$6,"Y"))</f>
        <v/>
      </c>
      <c r="M132" s="59" t="str">
        <f t="shared" si="22"/>
        <v/>
      </c>
      <c r="N132" s="59" t="str">
        <f t="shared" si="19"/>
        <v/>
      </c>
      <c r="O132" s="102" t="str">
        <f t="shared" si="23"/>
        <v/>
      </c>
      <c r="P132" s="102" t="str">
        <f t="shared" si="24"/>
        <v/>
      </c>
      <c r="Q132" s="68">
        <f t="shared" si="25"/>
        <v>0</v>
      </c>
      <c r="R132" s="102" t="str">
        <f t="shared" si="20"/>
        <v/>
      </c>
      <c r="V132" s="64">
        <v>77</v>
      </c>
      <c r="W132" s="51" t="s">
        <v>45</v>
      </c>
      <c r="X132" s="51" t="s">
        <v>45</v>
      </c>
    </row>
    <row r="133" spans="1:24" ht="16">
      <c r="A133" s="58" t="str">
        <f t="shared" si="21"/>
        <v/>
      </c>
      <c r="B133" s="58"/>
      <c r="C133" s="57"/>
      <c r="D133" s="58"/>
      <c r="E133" s="58"/>
      <c r="F133" s="58"/>
      <c r="G133" s="58"/>
      <c r="H133" s="58"/>
      <c r="I133" s="58"/>
      <c r="J133" s="58" t="str">
        <f t="shared" si="17"/>
        <v/>
      </c>
      <c r="K133" s="58" t="str">
        <f t="shared" si="18"/>
        <v/>
      </c>
      <c r="L133" s="59" t="str">
        <f>IF(C133="","",DATEDIF(C133,'Premium Table'!$B$6,"Y"))</f>
        <v/>
      </c>
      <c r="M133" s="59" t="str">
        <f t="shared" si="22"/>
        <v/>
      </c>
      <c r="N133" s="59" t="str">
        <f t="shared" si="19"/>
        <v/>
      </c>
      <c r="O133" s="102" t="str">
        <f t="shared" si="23"/>
        <v/>
      </c>
      <c r="P133" s="102" t="str">
        <f t="shared" si="24"/>
        <v/>
      </c>
      <c r="Q133" s="68">
        <f t="shared" si="25"/>
        <v>0</v>
      </c>
      <c r="R133" s="102" t="str">
        <f t="shared" si="20"/>
        <v/>
      </c>
      <c r="V133" s="64">
        <v>78</v>
      </c>
      <c r="W133" s="51" t="s">
        <v>45</v>
      </c>
      <c r="X133" s="51" t="s">
        <v>45</v>
      </c>
    </row>
    <row r="134" spans="1:24" ht="16">
      <c r="A134" s="58" t="str">
        <f t="shared" si="21"/>
        <v/>
      </c>
      <c r="B134" s="58"/>
      <c r="C134" s="57"/>
      <c r="D134" s="58"/>
      <c r="E134" s="58"/>
      <c r="F134" s="58"/>
      <c r="G134" s="58"/>
      <c r="H134" s="58"/>
      <c r="I134" s="58"/>
      <c r="J134" s="58" t="str">
        <f t="shared" ref="J134:J197" si="26">IF(D134="","",E134&amp;LEFT(D134)&amp;IF(F134="Employee","E","D"))</f>
        <v/>
      </c>
      <c r="K134" s="58" t="str">
        <f t="shared" ref="K134:K197" si="27">IF(J134="","",VLOOKUP(J134,$Y$19:$Z$50,2,FALSE))</f>
        <v/>
      </c>
      <c r="L134" s="59" t="str">
        <f>IF(C134="","",DATEDIF(C134,'Premium Table'!$B$6,"Y"))</f>
        <v/>
      </c>
      <c r="M134" s="59" t="str">
        <f t="shared" si="22"/>
        <v/>
      </c>
      <c r="N134" s="59" t="str">
        <f t="shared" ref="N134:N197" si="28">IF(L134="","",IF(M134="","",IF(H134="DXB",VLOOKUP(M134,DXBAgeBr,3,FALSE),IF(H134="AUH",VLOOKUP(M134,AUHAgeBr,2,FALSE),""))))</f>
        <v/>
      </c>
      <c r="O134" s="102" t="str">
        <f t="shared" si="23"/>
        <v/>
      </c>
      <c r="P134" s="102" t="str">
        <f t="shared" si="24"/>
        <v/>
      </c>
      <c r="Q134" s="68">
        <f t="shared" si="25"/>
        <v>0</v>
      </c>
      <c r="R134" s="102" t="str">
        <f t="shared" ref="R134:R197" si="29">IF(M134="","",O134+Q134)</f>
        <v/>
      </c>
      <c r="V134" s="64">
        <v>79</v>
      </c>
      <c r="W134" s="51" t="s">
        <v>45</v>
      </c>
      <c r="X134" s="51" t="s">
        <v>45</v>
      </c>
    </row>
    <row r="135" spans="1:24" ht="16">
      <c r="A135" s="58" t="str">
        <f t="shared" ref="A135:A198" si="30">IF(C135="","",A134+1)</f>
        <v/>
      </c>
      <c r="B135" s="58"/>
      <c r="C135" s="57"/>
      <c r="D135" s="58"/>
      <c r="E135" s="58"/>
      <c r="F135" s="58"/>
      <c r="G135" s="58"/>
      <c r="H135" s="58"/>
      <c r="I135" s="58"/>
      <c r="J135" s="58" t="str">
        <f t="shared" si="26"/>
        <v/>
      </c>
      <c r="K135" s="58" t="str">
        <f t="shared" si="27"/>
        <v/>
      </c>
      <c r="L135" s="59" t="str">
        <f>IF(C135="","",DATEDIF(C135,'Premium Table'!$B$6,"Y"))</f>
        <v/>
      </c>
      <c r="M135" s="59" t="str">
        <f t="shared" ref="M135:M198" si="31">IF(L135="","",IF(H135="","Choose Plan (DXB/AUH)",IF(H135="DXB",VLOOKUP(L135,$V$55:$W$154,2,FALSE),IF(H135="AUH",VLOOKUP(L135,$V$55:$X$154,3,FALSE),"Choose Plan (DXB/AUH)"))))</f>
        <v/>
      </c>
      <c r="N135" s="59" t="str">
        <f t="shared" si="28"/>
        <v/>
      </c>
      <c r="O135" s="102" t="str">
        <f t="shared" ref="O135:O198" si="32">IF(M135="","",VLOOKUP(N135,$V$5:$BB$17,K135,FALSE))</f>
        <v/>
      </c>
      <c r="P135" s="102" t="str">
        <f t="shared" ref="P135:P198" si="33">IF(L135="","",IF(H135="DXB",46,IF(H135="AUH",51,"")))</f>
        <v/>
      </c>
      <c r="Q135" s="68">
        <f t="shared" ref="Q135:Q198" si="34">IF(AND(LEFT(D135,1)="F",G135="Married",L135&gt;17,L135&lt;P135),HLOOKUP(E135,$W$1:$AA$2,2,FALSE),0)</f>
        <v>0</v>
      </c>
      <c r="R135" s="102" t="str">
        <f t="shared" si="29"/>
        <v/>
      </c>
      <c r="V135" s="64">
        <v>80</v>
      </c>
      <c r="W135" s="51" t="s">
        <v>45</v>
      </c>
      <c r="X135" s="51" t="s">
        <v>45</v>
      </c>
    </row>
    <row r="136" spans="1:24" ht="16">
      <c r="A136" s="58" t="str">
        <f t="shared" si="30"/>
        <v/>
      </c>
      <c r="B136" s="58"/>
      <c r="C136" s="57"/>
      <c r="D136" s="58"/>
      <c r="E136" s="58"/>
      <c r="F136" s="58"/>
      <c r="G136" s="58"/>
      <c r="H136" s="58"/>
      <c r="I136" s="58"/>
      <c r="J136" s="58" t="str">
        <f t="shared" si="26"/>
        <v/>
      </c>
      <c r="K136" s="58" t="str">
        <f t="shared" si="27"/>
        <v/>
      </c>
      <c r="L136" s="59" t="str">
        <f>IF(C136="","",DATEDIF(C136,'Premium Table'!$B$6,"Y"))</f>
        <v/>
      </c>
      <c r="M136" s="59" t="str">
        <f t="shared" si="31"/>
        <v/>
      </c>
      <c r="N136" s="59" t="str">
        <f t="shared" si="28"/>
        <v/>
      </c>
      <c r="O136" s="102" t="str">
        <f t="shared" si="32"/>
        <v/>
      </c>
      <c r="P136" s="102" t="str">
        <f t="shared" si="33"/>
        <v/>
      </c>
      <c r="Q136" s="68">
        <f t="shared" si="34"/>
        <v>0</v>
      </c>
      <c r="R136" s="102" t="str">
        <f t="shared" si="29"/>
        <v/>
      </c>
      <c r="V136" s="64">
        <v>81</v>
      </c>
      <c r="W136" s="51" t="s">
        <v>45</v>
      </c>
      <c r="X136" s="51" t="s">
        <v>45</v>
      </c>
    </row>
    <row r="137" spans="1:24" ht="16">
      <c r="A137" s="58" t="str">
        <f t="shared" si="30"/>
        <v/>
      </c>
      <c r="B137" s="58"/>
      <c r="C137" s="57"/>
      <c r="D137" s="58"/>
      <c r="E137" s="58"/>
      <c r="F137" s="58"/>
      <c r="G137" s="58"/>
      <c r="H137" s="58"/>
      <c r="I137" s="58"/>
      <c r="J137" s="58" t="str">
        <f t="shared" si="26"/>
        <v/>
      </c>
      <c r="K137" s="58" t="str">
        <f t="shared" si="27"/>
        <v/>
      </c>
      <c r="L137" s="59" t="str">
        <f>IF(C137="","",DATEDIF(C137,'Premium Table'!$B$6,"Y"))</f>
        <v/>
      </c>
      <c r="M137" s="59" t="str">
        <f t="shared" si="31"/>
        <v/>
      </c>
      <c r="N137" s="59" t="str">
        <f t="shared" si="28"/>
        <v/>
      </c>
      <c r="O137" s="102" t="str">
        <f t="shared" si="32"/>
        <v/>
      </c>
      <c r="P137" s="102" t="str">
        <f t="shared" si="33"/>
        <v/>
      </c>
      <c r="Q137" s="68">
        <f t="shared" si="34"/>
        <v>0</v>
      </c>
      <c r="R137" s="102" t="str">
        <f t="shared" si="29"/>
        <v/>
      </c>
      <c r="V137" s="64">
        <v>82</v>
      </c>
      <c r="W137" s="51" t="s">
        <v>45</v>
      </c>
      <c r="X137" s="51" t="s">
        <v>45</v>
      </c>
    </row>
    <row r="138" spans="1:24" ht="16">
      <c r="A138" s="58" t="str">
        <f t="shared" si="30"/>
        <v/>
      </c>
      <c r="B138" s="58"/>
      <c r="C138" s="57"/>
      <c r="D138" s="58"/>
      <c r="E138" s="58"/>
      <c r="F138" s="58"/>
      <c r="G138" s="58"/>
      <c r="H138" s="58"/>
      <c r="I138" s="58"/>
      <c r="J138" s="58" t="str">
        <f t="shared" si="26"/>
        <v/>
      </c>
      <c r="K138" s="58" t="str">
        <f t="shared" si="27"/>
        <v/>
      </c>
      <c r="L138" s="59" t="str">
        <f>IF(C138="","",DATEDIF(C138,'Premium Table'!$B$6,"Y"))</f>
        <v/>
      </c>
      <c r="M138" s="59" t="str">
        <f t="shared" si="31"/>
        <v/>
      </c>
      <c r="N138" s="59" t="str">
        <f t="shared" si="28"/>
        <v/>
      </c>
      <c r="O138" s="102" t="str">
        <f t="shared" si="32"/>
        <v/>
      </c>
      <c r="P138" s="102" t="str">
        <f t="shared" si="33"/>
        <v/>
      </c>
      <c r="Q138" s="68">
        <f t="shared" si="34"/>
        <v>0</v>
      </c>
      <c r="R138" s="102" t="str">
        <f t="shared" si="29"/>
        <v/>
      </c>
      <c r="V138" s="64">
        <v>83</v>
      </c>
      <c r="W138" s="51" t="s">
        <v>45</v>
      </c>
      <c r="X138" s="51" t="s">
        <v>45</v>
      </c>
    </row>
    <row r="139" spans="1:24" ht="16">
      <c r="A139" s="58" t="str">
        <f t="shared" si="30"/>
        <v/>
      </c>
      <c r="B139" s="58"/>
      <c r="C139" s="57"/>
      <c r="D139" s="58"/>
      <c r="E139" s="58"/>
      <c r="F139" s="58"/>
      <c r="G139" s="58"/>
      <c r="H139" s="58"/>
      <c r="I139" s="58"/>
      <c r="J139" s="58" t="str">
        <f t="shared" si="26"/>
        <v/>
      </c>
      <c r="K139" s="58" t="str">
        <f t="shared" si="27"/>
        <v/>
      </c>
      <c r="L139" s="59" t="str">
        <f>IF(C139="","",DATEDIF(C139,'Premium Table'!$B$6,"Y"))</f>
        <v/>
      </c>
      <c r="M139" s="59" t="str">
        <f t="shared" si="31"/>
        <v/>
      </c>
      <c r="N139" s="59" t="str">
        <f t="shared" si="28"/>
        <v/>
      </c>
      <c r="O139" s="102" t="str">
        <f t="shared" si="32"/>
        <v/>
      </c>
      <c r="P139" s="102" t="str">
        <f t="shared" si="33"/>
        <v/>
      </c>
      <c r="Q139" s="68">
        <f t="shared" si="34"/>
        <v>0</v>
      </c>
      <c r="R139" s="102" t="str">
        <f t="shared" si="29"/>
        <v/>
      </c>
      <c r="V139" s="64">
        <v>84</v>
      </c>
      <c r="W139" s="51" t="s">
        <v>45</v>
      </c>
      <c r="X139" s="51" t="s">
        <v>45</v>
      </c>
    </row>
    <row r="140" spans="1:24" ht="16">
      <c r="A140" s="58" t="str">
        <f t="shared" si="30"/>
        <v/>
      </c>
      <c r="B140" s="58"/>
      <c r="C140" s="57"/>
      <c r="D140" s="58"/>
      <c r="E140" s="58"/>
      <c r="F140" s="58"/>
      <c r="G140" s="58"/>
      <c r="H140" s="58"/>
      <c r="I140" s="58"/>
      <c r="J140" s="58" t="str">
        <f t="shared" si="26"/>
        <v/>
      </c>
      <c r="K140" s="58" t="str">
        <f t="shared" si="27"/>
        <v/>
      </c>
      <c r="L140" s="59" t="str">
        <f>IF(C140="","",DATEDIF(C140,'Premium Table'!$B$6,"Y"))</f>
        <v/>
      </c>
      <c r="M140" s="59" t="str">
        <f t="shared" si="31"/>
        <v/>
      </c>
      <c r="N140" s="59" t="str">
        <f t="shared" si="28"/>
        <v/>
      </c>
      <c r="O140" s="102" t="str">
        <f t="shared" si="32"/>
        <v/>
      </c>
      <c r="P140" s="102" t="str">
        <f t="shared" si="33"/>
        <v/>
      </c>
      <c r="Q140" s="68">
        <f t="shared" si="34"/>
        <v>0</v>
      </c>
      <c r="R140" s="102" t="str">
        <f t="shared" si="29"/>
        <v/>
      </c>
      <c r="V140" s="64">
        <v>85</v>
      </c>
      <c r="W140" s="51" t="s">
        <v>45</v>
      </c>
      <c r="X140" s="51" t="s">
        <v>45</v>
      </c>
    </row>
    <row r="141" spans="1:24" ht="16">
      <c r="A141" s="58" t="str">
        <f t="shared" si="30"/>
        <v/>
      </c>
      <c r="B141" s="58"/>
      <c r="C141" s="57"/>
      <c r="D141" s="58"/>
      <c r="E141" s="58"/>
      <c r="F141" s="58"/>
      <c r="G141" s="58"/>
      <c r="H141" s="58"/>
      <c r="I141" s="58"/>
      <c r="J141" s="58" t="str">
        <f t="shared" si="26"/>
        <v/>
      </c>
      <c r="K141" s="58" t="str">
        <f t="shared" si="27"/>
        <v/>
      </c>
      <c r="L141" s="59" t="str">
        <f>IF(C141="","",DATEDIF(C141,'Premium Table'!$B$6,"Y"))</f>
        <v/>
      </c>
      <c r="M141" s="59" t="str">
        <f t="shared" si="31"/>
        <v/>
      </c>
      <c r="N141" s="59" t="str">
        <f t="shared" si="28"/>
        <v/>
      </c>
      <c r="O141" s="102" t="str">
        <f t="shared" si="32"/>
        <v/>
      </c>
      <c r="P141" s="102" t="str">
        <f t="shared" si="33"/>
        <v/>
      </c>
      <c r="Q141" s="68">
        <f t="shared" si="34"/>
        <v>0</v>
      </c>
      <c r="R141" s="102" t="str">
        <f t="shared" si="29"/>
        <v/>
      </c>
      <c r="V141" s="64">
        <v>86</v>
      </c>
      <c r="W141" s="51" t="s">
        <v>45</v>
      </c>
      <c r="X141" s="51" t="s">
        <v>45</v>
      </c>
    </row>
    <row r="142" spans="1:24" ht="16">
      <c r="A142" s="58" t="str">
        <f t="shared" si="30"/>
        <v/>
      </c>
      <c r="B142" s="58"/>
      <c r="C142" s="57"/>
      <c r="D142" s="58"/>
      <c r="E142" s="58"/>
      <c r="F142" s="58"/>
      <c r="G142" s="58"/>
      <c r="H142" s="58"/>
      <c r="I142" s="58"/>
      <c r="J142" s="58" t="str">
        <f t="shared" si="26"/>
        <v/>
      </c>
      <c r="K142" s="58" t="str">
        <f t="shared" si="27"/>
        <v/>
      </c>
      <c r="L142" s="59" t="str">
        <f>IF(C142="","",DATEDIF(C142,'Premium Table'!$B$6,"Y"))</f>
        <v/>
      </c>
      <c r="M142" s="59" t="str">
        <f t="shared" si="31"/>
        <v/>
      </c>
      <c r="N142" s="59" t="str">
        <f t="shared" si="28"/>
        <v/>
      </c>
      <c r="O142" s="102" t="str">
        <f t="shared" si="32"/>
        <v/>
      </c>
      <c r="P142" s="102" t="str">
        <f t="shared" si="33"/>
        <v/>
      </c>
      <c r="Q142" s="68">
        <f t="shared" si="34"/>
        <v>0</v>
      </c>
      <c r="R142" s="102" t="str">
        <f t="shared" si="29"/>
        <v/>
      </c>
      <c r="V142" s="64">
        <v>87</v>
      </c>
      <c r="W142" s="51" t="s">
        <v>45</v>
      </c>
      <c r="X142" s="51" t="s">
        <v>45</v>
      </c>
    </row>
    <row r="143" spans="1:24" ht="16">
      <c r="A143" s="58" t="str">
        <f t="shared" si="30"/>
        <v/>
      </c>
      <c r="B143" s="58"/>
      <c r="C143" s="57"/>
      <c r="D143" s="58"/>
      <c r="E143" s="58"/>
      <c r="F143" s="58"/>
      <c r="G143" s="58"/>
      <c r="H143" s="58"/>
      <c r="I143" s="58"/>
      <c r="J143" s="58" t="str">
        <f t="shared" si="26"/>
        <v/>
      </c>
      <c r="K143" s="58" t="str">
        <f t="shared" si="27"/>
        <v/>
      </c>
      <c r="L143" s="59" t="str">
        <f>IF(C143="","",DATEDIF(C143,'Premium Table'!$B$6,"Y"))</f>
        <v/>
      </c>
      <c r="M143" s="59" t="str">
        <f t="shared" si="31"/>
        <v/>
      </c>
      <c r="N143" s="59" t="str">
        <f t="shared" si="28"/>
        <v/>
      </c>
      <c r="O143" s="102" t="str">
        <f t="shared" si="32"/>
        <v/>
      </c>
      <c r="P143" s="102" t="str">
        <f t="shared" si="33"/>
        <v/>
      </c>
      <c r="Q143" s="68">
        <f t="shared" si="34"/>
        <v>0</v>
      </c>
      <c r="R143" s="102" t="str">
        <f t="shared" si="29"/>
        <v/>
      </c>
      <c r="V143" s="64">
        <v>88</v>
      </c>
      <c r="W143" s="51" t="s">
        <v>45</v>
      </c>
      <c r="X143" s="51" t="s">
        <v>45</v>
      </c>
    </row>
    <row r="144" spans="1:24" ht="16">
      <c r="A144" s="58" t="str">
        <f t="shared" si="30"/>
        <v/>
      </c>
      <c r="B144" s="58"/>
      <c r="C144" s="57"/>
      <c r="D144" s="58"/>
      <c r="E144" s="58"/>
      <c r="F144" s="58"/>
      <c r="G144" s="58"/>
      <c r="H144" s="58"/>
      <c r="I144" s="58"/>
      <c r="J144" s="58" t="str">
        <f t="shared" si="26"/>
        <v/>
      </c>
      <c r="K144" s="58" t="str">
        <f t="shared" si="27"/>
        <v/>
      </c>
      <c r="L144" s="59" t="str">
        <f>IF(C144="","",DATEDIF(C144,'Premium Table'!$B$6,"Y"))</f>
        <v/>
      </c>
      <c r="M144" s="59" t="str">
        <f t="shared" si="31"/>
        <v/>
      </c>
      <c r="N144" s="59" t="str">
        <f t="shared" si="28"/>
        <v/>
      </c>
      <c r="O144" s="102" t="str">
        <f t="shared" si="32"/>
        <v/>
      </c>
      <c r="P144" s="102" t="str">
        <f t="shared" si="33"/>
        <v/>
      </c>
      <c r="Q144" s="68">
        <f t="shared" si="34"/>
        <v>0</v>
      </c>
      <c r="R144" s="102" t="str">
        <f t="shared" si="29"/>
        <v/>
      </c>
      <c r="V144" s="64">
        <v>89</v>
      </c>
      <c r="W144" s="51" t="s">
        <v>45</v>
      </c>
      <c r="X144" s="51" t="s">
        <v>45</v>
      </c>
    </row>
    <row r="145" spans="1:24" ht="16">
      <c r="A145" s="58" t="str">
        <f t="shared" si="30"/>
        <v/>
      </c>
      <c r="B145" s="58"/>
      <c r="C145" s="57"/>
      <c r="D145" s="58"/>
      <c r="E145" s="58"/>
      <c r="F145" s="58"/>
      <c r="G145" s="58"/>
      <c r="H145" s="58"/>
      <c r="I145" s="58"/>
      <c r="J145" s="58" t="str">
        <f t="shared" si="26"/>
        <v/>
      </c>
      <c r="K145" s="58" t="str">
        <f t="shared" si="27"/>
        <v/>
      </c>
      <c r="L145" s="59" t="str">
        <f>IF(C145="","",DATEDIF(C145,'Premium Table'!$B$6,"Y"))</f>
        <v/>
      </c>
      <c r="M145" s="59" t="str">
        <f t="shared" si="31"/>
        <v/>
      </c>
      <c r="N145" s="59" t="str">
        <f t="shared" si="28"/>
        <v/>
      </c>
      <c r="O145" s="102" t="str">
        <f t="shared" si="32"/>
        <v/>
      </c>
      <c r="P145" s="102" t="str">
        <f t="shared" si="33"/>
        <v/>
      </c>
      <c r="Q145" s="68">
        <f t="shared" si="34"/>
        <v>0</v>
      </c>
      <c r="R145" s="102" t="str">
        <f t="shared" si="29"/>
        <v/>
      </c>
      <c r="V145" s="64">
        <v>90</v>
      </c>
      <c r="W145" s="51" t="s">
        <v>45</v>
      </c>
      <c r="X145" s="51" t="s">
        <v>45</v>
      </c>
    </row>
    <row r="146" spans="1:24" ht="16">
      <c r="A146" s="58" t="str">
        <f t="shared" si="30"/>
        <v/>
      </c>
      <c r="B146" s="58"/>
      <c r="C146" s="57"/>
      <c r="D146" s="58"/>
      <c r="E146" s="58"/>
      <c r="F146" s="58"/>
      <c r="G146" s="58"/>
      <c r="H146" s="58"/>
      <c r="I146" s="58"/>
      <c r="J146" s="58" t="str">
        <f t="shared" si="26"/>
        <v/>
      </c>
      <c r="K146" s="58" t="str">
        <f t="shared" si="27"/>
        <v/>
      </c>
      <c r="L146" s="59" t="str">
        <f>IF(C146="","",DATEDIF(C146,'Premium Table'!$B$6,"Y"))</f>
        <v/>
      </c>
      <c r="M146" s="59" t="str">
        <f t="shared" si="31"/>
        <v/>
      </c>
      <c r="N146" s="59" t="str">
        <f t="shared" si="28"/>
        <v/>
      </c>
      <c r="O146" s="102" t="str">
        <f t="shared" si="32"/>
        <v/>
      </c>
      <c r="P146" s="102" t="str">
        <f t="shared" si="33"/>
        <v/>
      </c>
      <c r="Q146" s="68">
        <f t="shared" si="34"/>
        <v>0</v>
      </c>
      <c r="R146" s="102" t="str">
        <f t="shared" si="29"/>
        <v/>
      </c>
      <c r="V146" s="64">
        <v>91</v>
      </c>
      <c r="W146" s="51" t="s">
        <v>45</v>
      </c>
      <c r="X146" s="51" t="s">
        <v>45</v>
      </c>
    </row>
    <row r="147" spans="1:24" ht="16">
      <c r="A147" s="58" t="str">
        <f t="shared" si="30"/>
        <v/>
      </c>
      <c r="B147" s="58"/>
      <c r="C147" s="57"/>
      <c r="D147" s="58"/>
      <c r="E147" s="58"/>
      <c r="F147" s="58"/>
      <c r="G147" s="58"/>
      <c r="H147" s="58"/>
      <c r="I147" s="58"/>
      <c r="J147" s="58" t="str">
        <f t="shared" si="26"/>
        <v/>
      </c>
      <c r="K147" s="58" t="str">
        <f t="shared" si="27"/>
        <v/>
      </c>
      <c r="L147" s="59" t="str">
        <f>IF(C147="","",DATEDIF(C147,'Premium Table'!$B$6,"Y"))</f>
        <v/>
      </c>
      <c r="M147" s="59" t="str">
        <f t="shared" si="31"/>
        <v/>
      </c>
      <c r="N147" s="59" t="str">
        <f t="shared" si="28"/>
        <v/>
      </c>
      <c r="O147" s="102" t="str">
        <f t="shared" si="32"/>
        <v/>
      </c>
      <c r="P147" s="102" t="str">
        <f t="shared" si="33"/>
        <v/>
      </c>
      <c r="Q147" s="68">
        <f t="shared" si="34"/>
        <v>0</v>
      </c>
      <c r="R147" s="102" t="str">
        <f t="shared" si="29"/>
        <v/>
      </c>
      <c r="V147" s="64">
        <v>92</v>
      </c>
      <c r="W147" s="51" t="s">
        <v>45</v>
      </c>
      <c r="X147" s="51" t="s">
        <v>45</v>
      </c>
    </row>
    <row r="148" spans="1:24" ht="16">
      <c r="A148" s="58" t="str">
        <f t="shared" si="30"/>
        <v/>
      </c>
      <c r="B148" s="58"/>
      <c r="C148" s="57"/>
      <c r="D148" s="58"/>
      <c r="E148" s="58"/>
      <c r="F148" s="58"/>
      <c r="G148" s="58"/>
      <c r="H148" s="58"/>
      <c r="I148" s="58"/>
      <c r="J148" s="58" t="str">
        <f t="shared" si="26"/>
        <v/>
      </c>
      <c r="K148" s="58" t="str">
        <f t="shared" si="27"/>
        <v/>
      </c>
      <c r="L148" s="59" t="str">
        <f>IF(C148="","",DATEDIF(C148,'Premium Table'!$B$6,"Y"))</f>
        <v/>
      </c>
      <c r="M148" s="59" t="str">
        <f t="shared" si="31"/>
        <v/>
      </c>
      <c r="N148" s="59" t="str">
        <f t="shared" si="28"/>
        <v/>
      </c>
      <c r="O148" s="102" t="str">
        <f t="shared" si="32"/>
        <v/>
      </c>
      <c r="P148" s="102" t="str">
        <f t="shared" si="33"/>
        <v/>
      </c>
      <c r="Q148" s="68">
        <f t="shared" si="34"/>
        <v>0</v>
      </c>
      <c r="R148" s="102" t="str">
        <f t="shared" si="29"/>
        <v/>
      </c>
      <c r="V148" s="64">
        <v>93</v>
      </c>
      <c r="W148" s="51" t="s">
        <v>45</v>
      </c>
      <c r="X148" s="51" t="s">
        <v>45</v>
      </c>
    </row>
    <row r="149" spans="1:24" ht="16">
      <c r="A149" s="58" t="str">
        <f t="shared" si="30"/>
        <v/>
      </c>
      <c r="B149" s="58"/>
      <c r="C149" s="57"/>
      <c r="D149" s="58"/>
      <c r="E149" s="58"/>
      <c r="F149" s="58"/>
      <c r="G149" s="58"/>
      <c r="H149" s="58"/>
      <c r="I149" s="58"/>
      <c r="J149" s="58" t="str">
        <f t="shared" si="26"/>
        <v/>
      </c>
      <c r="K149" s="58" t="str">
        <f t="shared" si="27"/>
        <v/>
      </c>
      <c r="L149" s="59" t="str">
        <f>IF(C149="","",DATEDIF(C149,'Premium Table'!$B$6,"Y"))</f>
        <v/>
      </c>
      <c r="M149" s="59" t="str">
        <f t="shared" si="31"/>
        <v/>
      </c>
      <c r="N149" s="59" t="str">
        <f t="shared" si="28"/>
        <v/>
      </c>
      <c r="O149" s="102" t="str">
        <f t="shared" si="32"/>
        <v/>
      </c>
      <c r="P149" s="102" t="str">
        <f t="shared" si="33"/>
        <v/>
      </c>
      <c r="Q149" s="68">
        <f t="shared" si="34"/>
        <v>0</v>
      </c>
      <c r="R149" s="102" t="str">
        <f t="shared" si="29"/>
        <v/>
      </c>
      <c r="V149" s="64">
        <v>94</v>
      </c>
      <c r="W149" s="51" t="s">
        <v>45</v>
      </c>
      <c r="X149" s="51" t="s">
        <v>45</v>
      </c>
    </row>
    <row r="150" spans="1:24" ht="16">
      <c r="A150" s="58" t="str">
        <f t="shared" si="30"/>
        <v/>
      </c>
      <c r="B150" s="58"/>
      <c r="C150" s="57"/>
      <c r="D150" s="58"/>
      <c r="E150" s="58"/>
      <c r="F150" s="58"/>
      <c r="G150" s="58"/>
      <c r="H150" s="58"/>
      <c r="I150" s="58"/>
      <c r="J150" s="58" t="str">
        <f t="shared" si="26"/>
        <v/>
      </c>
      <c r="K150" s="58" t="str">
        <f t="shared" si="27"/>
        <v/>
      </c>
      <c r="L150" s="59" t="str">
        <f>IF(C150="","",DATEDIF(C150,'Premium Table'!$B$6,"Y"))</f>
        <v/>
      </c>
      <c r="M150" s="59" t="str">
        <f t="shared" si="31"/>
        <v/>
      </c>
      <c r="N150" s="59" t="str">
        <f t="shared" si="28"/>
        <v/>
      </c>
      <c r="O150" s="102" t="str">
        <f t="shared" si="32"/>
        <v/>
      </c>
      <c r="P150" s="102" t="str">
        <f t="shared" si="33"/>
        <v/>
      </c>
      <c r="Q150" s="68">
        <f t="shared" si="34"/>
        <v>0</v>
      </c>
      <c r="R150" s="102" t="str">
        <f t="shared" si="29"/>
        <v/>
      </c>
      <c r="V150" s="64">
        <v>95</v>
      </c>
      <c r="W150" s="51" t="s">
        <v>45</v>
      </c>
      <c r="X150" s="51" t="s">
        <v>45</v>
      </c>
    </row>
    <row r="151" spans="1:24" ht="16">
      <c r="A151" s="58" t="str">
        <f t="shared" si="30"/>
        <v/>
      </c>
      <c r="B151" s="58"/>
      <c r="C151" s="57"/>
      <c r="D151" s="58"/>
      <c r="E151" s="58"/>
      <c r="F151" s="58"/>
      <c r="G151" s="58"/>
      <c r="H151" s="58"/>
      <c r="I151" s="58"/>
      <c r="J151" s="58" t="str">
        <f t="shared" si="26"/>
        <v/>
      </c>
      <c r="K151" s="58" t="str">
        <f t="shared" si="27"/>
        <v/>
      </c>
      <c r="L151" s="59" t="str">
        <f>IF(C151="","",DATEDIF(C151,'Premium Table'!$B$6,"Y"))</f>
        <v/>
      </c>
      <c r="M151" s="59" t="str">
        <f t="shared" si="31"/>
        <v/>
      </c>
      <c r="N151" s="59" t="str">
        <f t="shared" si="28"/>
        <v/>
      </c>
      <c r="O151" s="102" t="str">
        <f t="shared" si="32"/>
        <v/>
      </c>
      <c r="P151" s="102" t="str">
        <f t="shared" si="33"/>
        <v/>
      </c>
      <c r="Q151" s="68">
        <f t="shared" si="34"/>
        <v>0</v>
      </c>
      <c r="R151" s="102" t="str">
        <f t="shared" si="29"/>
        <v/>
      </c>
      <c r="V151" s="64">
        <v>96</v>
      </c>
      <c r="W151" s="51" t="s">
        <v>45</v>
      </c>
      <c r="X151" s="51" t="s">
        <v>45</v>
      </c>
    </row>
    <row r="152" spans="1:24" ht="16">
      <c r="A152" s="58" t="str">
        <f t="shared" si="30"/>
        <v/>
      </c>
      <c r="B152" s="58"/>
      <c r="C152" s="57"/>
      <c r="D152" s="58"/>
      <c r="E152" s="58"/>
      <c r="F152" s="58"/>
      <c r="G152" s="58"/>
      <c r="H152" s="58"/>
      <c r="I152" s="58"/>
      <c r="J152" s="58" t="str">
        <f t="shared" si="26"/>
        <v/>
      </c>
      <c r="K152" s="58" t="str">
        <f t="shared" si="27"/>
        <v/>
      </c>
      <c r="L152" s="59" t="str">
        <f>IF(C152="","",DATEDIF(C152,'Premium Table'!$B$6,"Y"))</f>
        <v/>
      </c>
      <c r="M152" s="59" t="str">
        <f t="shared" si="31"/>
        <v/>
      </c>
      <c r="N152" s="59" t="str">
        <f t="shared" si="28"/>
        <v/>
      </c>
      <c r="O152" s="102" t="str">
        <f t="shared" si="32"/>
        <v/>
      </c>
      <c r="P152" s="102" t="str">
        <f t="shared" si="33"/>
        <v/>
      </c>
      <c r="Q152" s="68">
        <f t="shared" si="34"/>
        <v>0</v>
      </c>
      <c r="R152" s="102" t="str">
        <f t="shared" si="29"/>
        <v/>
      </c>
      <c r="V152" s="64">
        <v>97</v>
      </c>
      <c r="W152" s="51" t="s">
        <v>45</v>
      </c>
      <c r="X152" s="51" t="s">
        <v>45</v>
      </c>
    </row>
    <row r="153" spans="1:24" ht="16">
      <c r="A153" s="58" t="str">
        <f t="shared" si="30"/>
        <v/>
      </c>
      <c r="B153" s="58"/>
      <c r="C153" s="57"/>
      <c r="D153" s="58"/>
      <c r="E153" s="58"/>
      <c r="F153" s="58"/>
      <c r="G153" s="58"/>
      <c r="H153" s="58"/>
      <c r="I153" s="58"/>
      <c r="J153" s="58" t="str">
        <f t="shared" si="26"/>
        <v/>
      </c>
      <c r="K153" s="58" t="str">
        <f t="shared" si="27"/>
        <v/>
      </c>
      <c r="L153" s="59" t="str">
        <f>IF(C153="","",DATEDIF(C153,'Premium Table'!$B$6,"Y"))</f>
        <v/>
      </c>
      <c r="M153" s="59" t="str">
        <f t="shared" si="31"/>
        <v/>
      </c>
      <c r="N153" s="59" t="str">
        <f t="shared" si="28"/>
        <v/>
      </c>
      <c r="O153" s="102" t="str">
        <f t="shared" si="32"/>
        <v/>
      </c>
      <c r="P153" s="102" t="str">
        <f t="shared" si="33"/>
        <v/>
      </c>
      <c r="Q153" s="68">
        <f t="shared" si="34"/>
        <v>0</v>
      </c>
      <c r="R153" s="102" t="str">
        <f t="shared" si="29"/>
        <v/>
      </c>
      <c r="V153" s="64">
        <v>98</v>
      </c>
      <c r="W153" s="51" t="s">
        <v>45</v>
      </c>
      <c r="X153" s="51" t="s">
        <v>45</v>
      </c>
    </row>
    <row r="154" spans="1:24" ht="16">
      <c r="A154" s="58" t="str">
        <f t="shared" si="30"/>
        <v/>
      </c>
      <c r="B154" s="58"/>
      <c r="C154" s="57"/>
      <c r="D154" s="58"/>
      <c r="E154" s="58"/>
      <c r="F154" s="58"/>
      <c r="G154" s="58"/>
      <c r="H154" s="58"/>
      <c r="I154" s="58"/>
      <c r="J154" s="58" t="str">
        <f t="shared" si="26"/>
        <v/>
      </c>
      <c r="K154" s="58" t="str">
        <f t="shared" si="27"/>
        <v/>
      </c>
      <c r="L154" s="59" t="str">
        <f>IF(C154="","",DATEDIF(C154,'Premium Table'!$B$6,"Y"))</f>
        <v/>
      </c>
      <c r="M154" s="59" t="str">
        <f t="shared" si="31"/>
        <v/>
      </c>
      <c r="N154" s="59" t="str">
        <f t="shared" si="28"/>
        <v/>
      </c>
      <c r="O154" s="102" t="str">
        <f t="shared" si="32"/>
        <v/>
      </c>
      <c r="P154" s="102" t="str">
        <f t="shared" si="33"/>
        <v/>
      </c>
      <c r="Q154" s="68">
        <f t="shared" si="34"/>
        <v>0</v>
      </c>
      <c r="R154" s="102" t="str">
        <f t="shared" si="29"/>
        <v/>
      </c>
      <c r="V154" s="64">
        <v>99</v>
      </c>
      <c r="W154" s="51" t="s">
        <v>45</v>
      </c>
      <c r="X154" s="51" t="s">
        <v>45</v>
      </c>
    </row>
    <row r="155" spans="1:24">
      <c r="A155" s="58" t="str">
        <f t="shared" si="30"/>
        <v/>
      </c>
      <c r="B155" s="58"/>
      <c r="C155" s="57"/>
      <c r="D155" s="58"/>
      <c r="E155" s="58"/>
      <c r="F155" s="58"/>
      <c r="G155" s="58"/>
      <c r="H155" s="58"/>
      <c r="I155" s="58"/>
      <c r="J155" s="58" t="str">
        <f t="shared" si="26"/>
        <v/>
      </c>
      <c r="K155" s="58" t="str">
        <f t="shared" si="27"/>
        <v/>
      </c>
      <c r="L155" s="59" t="str">
        <f>IF(C155="","",DATEDIF(C155,'Premium Table'!$B$6,"Y"))</f>
        <v/>
      </c>
      <c r="M155" s="59" t="str">
        <f t="shared" si="31"/>
        <v/>
      </c>
      <c r="N155" s="59" t="str">
        <f t="shared" si="28"/>
        <v/>
      </c>
      <c r="O155" s="102" t="str">
        <f t="shared" si="32"/>
        <v/>
      </c>
      <c r="P155" s="102" t="str">
        <f t="shared" si="33"/>
        <v/>
      </c>
      <c r="Q155" s="68">
        <f t="shared" si="34"/>
        <v>0</v>
      </c>
      <c r="R155" s="102" t="str">
        <f t="shared" si="29"/>
        <v/>
      </c>
    </row>
    <row r="156" spans="1:24">
      <c r="A156" s="58" t="str">
        <f t="shared" si="30"/>
        <v/>
      </c>
      <c r="B156" s="58"/>
      <c r="C156" s="57"/>
      <c r="D156" s="58"/>
      <c r="E156" s="58"/>
      <c r="F156" s="58"/>
      <c r="G156" s="58"/>
      <c r="H156" s="58"/>
      <c r="I156" s="58"/>
      <c r="J156" s="58" t="str">
        <f t="shared" si="26"/>
        <v/>
      </c>
      <c r="K156" s="58" t="str">
        <f t="shared" si="27"/>
        <v/>
      </c>
      <c r="L156" s="59" t="str">
        <f>IF(C156="","",DATEDIF(C156,'Premium Table'!$B$6,"Y"))</f>
        <v/>
      </c>
      <c r="M156" s="59" t="str">
        <f t="shared" si="31"/>
        <v/>
      </c>
      <c r="N156" s="59" t="str">
        <f t="shared" si="28"/>
        <v/>
      </c>
      <c r="O156" s="102" t="str">
        <f t="shared" si="32"/>
        <v/>
      </c>
      <c r="P156" s="102" t="str">
        <f t="shared" si="33"/>
        <v/>
      </c>
      <c r="Q156" s="68">
        <f t="shared" si="34"/>
        <v>0</v>
      </c>
      <c r="R156" s="102" t="str">
        <f t="shared" si="29"/>
        <v/>
      </c>
    </row>
    <row r="157" spans="1:24">
      <c r="A157" s="58" t="str">
        <f t="shared" si="30"/>
        <v/>
      </c>
      <c r="B157" s="58"/>
      <c r="C157" s="57"/>
      <c r="D157" s="58"/>
      <c r="E157" s="58"/>
      <c r="F157" s="58"/>
      <c r="G157" s="58"/>
      <c r="H157" s="58"/>
      <c r="I157" s="58"/>
      <c r="J157" s="58" t="str">
        <f t="shared" si="26"/>
        <v/>
      </c>
      <c r="K157" s="58" t="str">
        <f t="shared" si="27"/>
        <v/>
      </c>
      <c r="L157" s="59" t="str">
        <f>IF(C157="","",DATEDIF(C157,'Premium Table'!$B$6,"Y"))</f>
        <v/>
      </c>
      <c r="M157" s="59" t="str">
        <f t="shared" si="31"/>
        <v/>
      </c>
      <c r="N157" s="59" t="str">
        <f t="shared" si="28"/>
        <v/>
      </c>
      <c r="O157" s="102" t="str">
        <f t="shared" si="32"/>
        <v/>
      </c>
      <c r="P157" s="102" t="str">
        <f t="shared" si="33"/>
        <v/>
      </c>
      <c r="Q157" s="68">
        <f t="shared" si="34"/>
        <v>0</v>
      </c>
      <c r="R157" s="102" t="str">
        <f t="shared" si="29"/>
        <v/>
      </c>
    </row>
    <row r="158" spans="1:24">
      <c r="A158" s="58" t="str">
        <f t="shared" si="30"/>
        <v/>
      </c>
      <c r="B158" s="58"/>
      <c r="C158" s="57"/>
      <c r="D158" s="58"/>
      <c r="E158" s="58"/>
      <c r="F158" s="58"/>
      <c r="G158" s="58"/>
      <c r="H158" s="58"/>
      <c r="I158" s="58"/>
      <c r="J158" s="58" t="str">
        <f t="shared" si="26"/>
        <v/>
      </c>
      <c r="K158" s="58" t="str">
        <f t="shared" si="27"/>
        <v/>
      </c>
      <c r="L158" s="59" t="str">
        <f>IF(C158="","",DATEDIF(C158,'Premium Table'!$B$6,"Y"))</f>
        <v/>
      </c>
      <c r="M158" s="59" t="str">
        <f t="shared" si="31"/>
        <v/>
      </c>
      <c r="N158" s="59" t="str">
        <f t="shared" si="28"/>
        <v/>
      </c>
      <c r="O158" s="102" t="str">
        <f t="shared" si="32"/>
        <v/>
      </c>
      <c r="P158" s="102" t="str">
        <f t="shared" si="33"/>
        <v/>
      </c>
      <c r="Q158" s="68">
        <f t="shared" si="34"/>
        <v>0</v>
      </c>
      <c r="R158" s="102" t="str">
        <f t="shared" si="29"/>
        <v/>
      </c>
    </row>
    <row r="159" spans="1:24">
      <c r="A159" s="58" t="str">
        <f t="shared" si="30"/>
        <v/>
      </c>
      <c r="B159" s="58"/>
      <c r="C159" s="57"/>
      <c r="D159" s="58"/>
      <c r="E159" s="58"/>
      <c r="F159" s="58"/>
      <c r="G159" s="58"/>
      <c r="H159" s="58"/>
      <c r="I159" s="58"/>
      <c r="J159" s="58" t="str">
        <f t="shared" si="26"/>
        <v/>
      </c>
      <c r="K159" s="58" t="str">
        <f t="shared" si="27"/>
        <v/>
      </c>
      <c r="L159" s="59" t="str">
        <f>IF(C159="","",DATEDIF(C159,'Premium Table'!$B$6,"Y"))</f>
        <v/>
      </c>
      <c r="M159" s="59" t="str">
        <f t="shared" si="31"/>
        <v/>
      </c>
      <c r="N159" s="59" t="str">
        <f t="shared" si="28"/>
        <v/>
      </c>
      <c r="O159" s="102" t="str">
        <f t="shared" si="32"/>
        <v/>
      </c>
      <c r="P159" s="102" t="str">
        <f t="shared" si="33"/>
        <v/>
      </c>
      <c r="Q159" s="68">
        <f t="shared" si="34"/>
        <v>0</v>
      </c>
      <c r="R159" s="102" t="str">
        <f t="shared" si="29"/>
        <v/>
      </c>
    </row>
    <row r="160" spans="1:24">
      <c r="A160" s="58" t="str">
        <f t="shared" si="30"/>
        <v/>
      </c>
      <c r="B160" s="58"/>
      <c r="C160" s="57"/>
      <c r="D160" s="58"/>
      <c r="E160" s="58"/>
      <c r="F160" s="58"/>
      <c r="G160" s="58"/>
      <c r="H160" s="58"/>
      <c r="I160" s="58"/>
      <c r="J160" s="58" t="str">
        <f t="shared" si="26"/>
        <v/>
      </c>
      <c r="K160" s="58" t="str">
        <f t="shared" si="27"/>
        <v/>
      </c>
      <c r="L160" s="59" t="str">
        <f>IF(C160="","",DATEDIF(C160,'Premium Table'!$B$6,"Y"))</f>
        <v/>
      </c>
      <c r="M160" s="59" t="str">
        <f t="shared" si="31"/>
        <v/>
      </c>
      <c r="N160" s="59" t="str">
        <f t="shared" si="28"/>
        <v/>
      </c>
      <c r="O160" s="102" t="str">
        <f t="shared" si="32"/>
        <v/>
      </c>
      <c r="P160" s="102" t="str">
        <f t="shared" si="33"/>
        <v/>
      </c>
      <c r="Q160" s="68">
        <f t="shared" si="34"/>
        <v>0</v>
      </c>
      <c r="R160" s="102" t="str">
        <f t="shared" si="29"/>
        <v/>
      </c>
    </row>
    <row r="161" spans="1:18">
      <c r="A161" s="58" t="str">
        <f t="shared" si="30"/>
        <v/>
      </c>
      <c r="B161" s="58"/>
      <c r="C161" s="57"/>
      <c r="D161" s="58"/>
      <c r="E161" s="58"/>
      <c r="F161" s="58"/>
      <c r="G161" s="58"/>
      <c r="H161" s="58"/>
      <c r="I161" s="58"/>
      <c r="J161" s="58" t="str">
        <f t="shared" si="26"/>
        <v/>
      </c>
      <c r="K161" s="58" t="str">
        <f t="shared" si="27"/>
        <v/>
      </c>
      <c r="L161" s="59" t="str">
        <f>IF(C161="","",DATEDIF(C161,'Premium Table'!$B$6,"Y"))</f>
        <v/>
      </c>
      <c r="M161" s="59" t="str">
        <f t="shared" si="31"/>
        <v/>
      </c>
      <c r="N161" s="59" t="str">
        <f t="shared" si="28"/>
        <v/>
      </c>
      <c r="O161" s="102" t="str">
        <f t="shared" si="32"/>
        <v/>
      </c>
      <c r="P161" s="102" t="str">
        <f t="shared" si="33"/>
        <v/>
      </c>
      <c r="Q161" s="68">
        <f t="shared" si="34"/>
        <v>0</v>
      </c>
      <c r="R161" s="102" t="str">
        <f t="shared" si="29"/>
        <v/>
      </c>
    </row>
    <row r="162" spans="1:18">
      <c r="A162" s="58" t="str">
        <f t="shared" si="30"/>
        <v/>
      </c>
      <c r="B162" s="58"/>
      <c r="C162" s="57"/>
      <c r="D162" s="58"/>
      <c r="E162" s="58"/>
      <c r="F162" s="58"/>
      <c r="G162" s="58"/>
      <c r="H162" s="58"/>
      <c r="I162" s="58"/>
      <c r="J162" s="58" t="str">
        <f t="shared" si="26"/>
        <v/>
      </c>
      <c r="K162" s="58" t="str">
        <f t="shared" si="27"/>
        <v/>
      </c>
      <c r="L162" s="59" t="str">
        <f>IF(C162="","",DATEDIF(C162,'Premium Table'!$B$6,"Y"))</f>
        <v/>
      </c>
      <c r="M162" s="59" t="str">
        <f t="shared" si="31"/>
        <v/>
      </c>
      <c r="N162" s="59" t="str">
        <f t="shared" si="28"/>
        <v/>
      </c>
      <c r="O162" s="102" t="str">
        <f t="shared" si="32"/>
        <v/>
      </c>
      <c r="P162" s="102" t="str">
        <f t="shared" si="33"/>
        <v/>
      </c>
      <c r="Q162" s="68">
        <f t="shared" si="34"/>
        <v>0</v>
      </c>
      <c r="R162" s="102" t="str">
        <f t="shared" si="29"/>
        <v/>
      </c>
    </row>
    <row r="163" spans="1:18">
      <c r="A163" s="58" t="str">
        <f t="shared" si="30"/>
        <v/>
      </c>
      <c r="B163" s="58"/>
      <c r="C163" s="57"/>
      <c r="D163" s="58"/>
      <c r="E163" s="58"/>
      <c r="F163" s="58"/>
      <c r="G163" s="58"/>
      <c r="H163" s="58"/>
      <c r="I163" s="58"/>
      <c r="J163" s="58" t="str">
        <f t="shared" si="26"/>
        <v/>
      </c>
      <c r="K163" s="58" t="str">
        <f t="shared" si="27"/>
        <v/>
      </c>
      <c r="L163" s="59" t="str">
        <f>IF(C163="","",DATEDIF(C163,'Premium Table'!$B$6,"Y"))</f>
        <v/>
      </c>
      <c r="M163" s="59" t="str">
        <f t="shared" si="31"/>
        <v/>
      </c>
      <c r="N163" s="59" t="str">
        <f t="shared" si="28"/>
        <v/>
      </c>
      <c r="O163" s="102" t="str">
        <f t="shared" si="32"/>
        <v/>
      </c>
      <c r="P163" s="102" t="str">
        <f t="shared" si="33"/>
        <v/>
      </c>
      <c r="Q163" s="68">
        <f t="shared" si="34"/>
        <v>0</v>
      </c>
      <c r="R163" s="102" t="str">
        <f t="shared" si="29"/>
        <v/>
      </c>
    </row>
    <row r="164" spans="1:18">
      <c r="A164" s="58" t="str">
        <f t="shared" si="30"/>
        <v/>
      </c>
      <c r="B164" s="58"/>
      <c r="C164" s="57"/>
      <c r="D164" s="58"/>
      <c r="E164" s="58"/>
      <c r="F164" s="58"/>
      <c r="G164" s="58"/>
      <c r="H164" s="58"/>
      <c r="I164" s="58"/>
      <c r="J164" s="58" t="str">
        <f t="shared" si="26"/>
        <v/>
      </c>
      <c r="K164" s="58" t="str">
        <f t="shared" si="27"/>
        <v/>
      </c>
      <c r="L164" s="59" t="str">
        <f>IF(C164="","",DATEDIF(C164,'Premium Table'!$B$6,"Y"))</f>
        <v/>
      </c>
      <c r="M164" s="59" t="str">
        <f t="shared" si="31"/>
        <v/>
      </c>
      <c r="N164" s="59" t="str">
        <f t="shared" si="28"/>
        <v/>
      </c>
      <c r="O164" s="102" t="str">
        <f t="shared" si="32"/>
        <v/>
      </c>
      <c r="P164" s="102" t="str">
        <f t="shared" si="33"/>
        <v/>
      </c>
      <c r="Q164" s="68">
        <f t="shared" si="34"/>
        <v>0</v>
      </c>
      <c r="R164" s="102" t="str">
        <f t="shared" si="29"/>
        <v/>
      </c>
    </row>
    <row r="165" spans="1:18">
      <c r="A165" s="58" t="str">
        <f t="shared" si="30"/>
        <v/>
      </c>
      <c r="B165" s="58"/>
      <c r="C165" s="57"/>
      <c r="D165" s="58"/>
      <c r="E165" s="58"/>
      <c r="F165" s="58"/>
      <c r="G165" s="58"/>
      <c r="H165" s="58"/>
      <c r="I165" s="58"/>
      <c r="J165" s="58" t="str">
        <f t="shared" si="26"/>
        <v/>
      </c>
      <c r="K165" s="58" t="str">
        <f t="shared" si="27"/>
        <v/>
      </c>
      <c r="L165" s="59" t="str">
        <f>IF(C165="","",DATEDIF(C165,'Premium Table'!$B$6,"Y"))</f>
        <v/>
      </c>
      <c r="M165" s="59" t="str">
        <f t="shared" si="31"/>
        <v/>
      </c>
      <c r="N165" s="59" t="str">
        <f t="shared" si="28"/>
        <v/>
      </c>
      <c r="O165" s="102" t="str">
        <f t="shared" si="32"/>
        <v/>
      </c>
      <c r="P165" s="102" t="str">
        <f t="shared" si="33"/>
        <v/>
      </c>
      <c r="Q165" s="68">
        <f t="shared" si="34"/>
        <v>0</v>
      </c>
      <c r="R165" s="102" t="str">
        <f t="shared" si="29"/>
        <v/>
      </c>
    </row>
    <row r="166" spans="1:18">
      <c r="A166" s="58" t="str">
        <f t="shared" si="30"/>
        <v/>
      </c>
      <c r="B166" s="58"/>
      <c r="C166" s="57"/>
      <c r="D166" s="58"/>
      <c r="E166" s="58"/>
      <c r="F166" s="58"/>
      <c r="G166" s="58"/>
      <c r="H166" s="58"/>
      <c r="I166" s="58"/>
      <c r="J166" s="58" t="str">
        <f t="shared" si="26"/>
        <v/>
      </c>
      <c r="K166" s="58" t="str">
        <f t="shared" si="27"/>
        <v/>
      </c>
      <c r="L166" s="59" t="str">
        <f>IF(C166="","",DATEDIF(C166,'Premium Table'!$B$6,"Y"))</f>
        <v/>
      </c>
      <c r="M166" s="59" t="str">
        <f t="shared" si="31"/>
        <v/>
      </c>
      <c r="N166" s="59" t="str">
        <f t="shared" si="28"/>
        <v/>
      </c>
      <c r="O166" s="102" t="str">
        <f t="shared" si="32"/>
        <v/>
      </c>
      <c r="P166" s="102" t="str">
        <f t="shared" si="33"/>
        <v/>
      </c>
      <c r="Q166" s="68">
        <f t="shared" si="34"/>
        <v>0</v>
      </c>
      <c r="R166" s="102" t="str">
        <f t="shared" si="29"/>
        <v/>
      </c>
    </row>
    <row r="167" spans="1:18">
      <c r="A167" s="58" t="str">
        <f t="shared" si="30"/>
        <v/>
      </c>
      <c r="B167" s="58"/>
      <c r="C167" s="57"/>
      <c r="D167" s="58"/>
      <c r="E167" s="58"/>
      <c r="F167" s="58"/>
      <c r="G167" s="58"/>
      <c r="H167" s="58"/>
      <c r="I167" s="58"/>
      <c r="J167" s="58" t="str">
        <f t="shared" si="26"/>
        <v/>
      </c>
      <c r="K167" s="58" t="str">
        <f t="shared" si="27"/>
        <v/>
      </c>
      <c r="L167" s="59" t="str">
        <f>IF(C167="","",DATEDIF(C167,'Premium Table'!$B$6,"Y"))</f>
        <v/>
      </c>
      <c r="M167" s="59" t="str">
        <f t="shared" si="31"/>
        <v/>
      </c>
      <c r="N167" s="59" t="str">
        <f t="shared" si="28"/>
        <v/>
      </c>
      <c r="O167" s="102" t="str">
        <f t="shared" si="32"/>
        <v/>
      </c>
      <c r="P167" s="102" t="str">
        <f t="shared" si="33"/>
        <v/>
      </c>
      <c r="Q167" s="68">
        <f t="shared" si="34"/>
        <v>0</v>
      </c>
      <c r="R167" s="102" t="str">
        <f t="shared" si="29"/>
        <v/>
      </c>
    </row>
    <row r="168" spans="1:18">
      <c r="A168" s="58" t="str">
        <f t="shared" si="30"/>
        <v/>
      </c>
      <c r="B168" s="58"/>
      <c r="C168" s="57"/>
      <c r="D168" s="58"/>
      <c r="E168" s="58"/>
      <c r="F168" s="58"/>
      <c r="G168" s="58"/>
      <c r="H168" s="58"/>
      <c r="I168" s="58"/>
      <c r="J168" s="58" t="str">
        <f t="shared" si="26"/>
        <v/>
      </c>
      <c r="K168" s="58" t="str">
        <f t="shared" si="27"/>
        <v/>
      </c>
      <c r="L168" s="59" t="str">
        <f>IF(C168="","",DATEDIF(C168,'Premium Table'!$B$6,"Y"))</f>
        <v/>
      </c>
      <c r="M168" s="59" t="str">
        <f t="shared" si="31"/>
        <v/>
      </c>
      <c r="N168" s="59" t="str">
        <f t="shared" si="28"/>
        <v/>
      </c>
      <c r="O168" s="102" t="str">
        <f t="shared" si="32"/>
        <v/>
      </c>
      <c r="P168" s="102" t="str">
        <f t="shared" si="33"/>
        <v/>
      </c>
      <c r="Q168" s="68">
        <f t="shared" si="34"/>
        <v>0</v>
      </c>
      <c r="R168" s="102" t="str">
        <f t="shared" si="29"/>
        <v/>
      </c>
    </row>
    <row r="169" spans="1:18">
      <c r="A169" s="58" t="str">
        <f t="shared" si="30"/>
        <v/>
      </c>
      <c r="B169" s="58"/>
      <c r="C169" s="57"/>
      <c r="D169" s="58"/>
      <c r="E169" s="58"/>
      <c r="F169" s="58"/>
      <c r="G169" s="58"/>
      <c r="H169" s="58"/>
      <c r="I169" s="58"/>
      <c r="J169" s="58" t="str">
        <f t="shared" si="26"/>
        <v/>
      </c>
      <c r="K169" s="58" t="str">
        <f t="shared" si="27"/>
        <v/>
      </c>
      <c r="L169" s="59" t="str">
        <f>IF(C169="","",DATEDIF(C169,'Premium Table'!$B$6,"Y"))</f>
        <v/>
      </c>
      <c r="M169" s="59" t="str">
        <f t="shared" si="31"/>
        <v/>
      </c>
      <c r="N169" s="59" t="str">
        <f t="shared" si="28"/>
        <v/>
      </c>
      <c r="O169" s="102" t="str">
        <f t="shared" si="32"/>
        <v/>
      </c>
      <c r="P169" s="102" t="str">
        <f t="shared" si="33"/>
        <v/>
      </c>
      <c r="Q169" s="68">
        <f t="shared" si="34"/>
        <v>0</v>
      </c>
      <c r="R169" s="102" t="str">
        <f t="shared" si="29"/>
        <v/>
      </c>
    </row>
    <row r="170" spans="1:18">
      <c r="A170" s="58" t="str">
        <f t="shared" si="30"/>
        <v/>
      </c>
      <c r="B170" s="58"/>
      <c r="C170" s="57"/>
      <c r="D170" s="58"/>
      <c r="E170" s="58"/>
      <c r="F170" s="58"/>
      <c r="G170" s="58"/>
      <c r="H170" s="58"/>
      <c r="I170" s="58"/>
      <c r="J170" s="58" t="str">
        <f t="shared" si="26"/>
        <v/>
      </c>
      <c r="K170" s="58" t="str">
        <f t="shared" si="27"/>
        <v/>
      </c>
      <c r="L170" s="59" t="str">
        <f>IF(C170="","",DATEDIF(C170,'Premium Table'!$B$6,"Y"))</f>
        <v/>
      </c>
      <c r="M170" s="59" t="str">
        <f t="shared" si="31"/>
        <v/>
      </c>
      <c r="N170" s="59" t="str">
        <f t="shared" si="28"/>
        <v/>
      </c>
      <c r="O170" s="102" t="str">
        <f t="shared" si="32"/>
        <v/>
      </c>
      <c r="P170" s="102" t="str">
        <f t="shared" si="33"/>
        <v/>
      </c>
      <c r="Q170" s="68">
        <f t="shared" si="34"/>
        <v>0</v>
      </c>
      <c r="R170" s="102" t="str">
        <f t="shared" si="29"/>
        <v/>
      </c>
    </row>
    <row r="171" spans="1:18">
      <c r="A171" s="58" t="str">
        <f t="shared" si="30"/>
        <v/>
      </c>
      <c r="B171" s="58"/>
      <c r="C171" s="57"/>
      <c r="D171" s="58"/>
      <c r="E171" s="58"/>
      <c r="F171" s="58"/>
      <c r="G171" s="58"/>
      <c r="H171" s="58"/>
      <c r="I171" s="58"/>
      <c r="J171" s="58" t="str">
        <f t="shared" si="26"/>
        <v/>
      </c>
      <c r="K171" s="58" t="str">
        <f t="shared" si="27"/>
        <v/>
      </c>
      <c r="L171" s="59" t="str">
        <f>IF(C171="","",DATEDIF(C171,'Premium Table'!$B$6,"Y"))</f>
        <v/>
      </c>
      <c r="M171" s="59" t="str">
        <f t="shared" si="31"/>
        <v/>
      </c>
      <c r="N171" s="59" t="str">
        <f t="shared" si="28"/>
        <v/>
      </c>
      <c r="O171" s="102" t="str">
        <f t="shared" si="32"/>
        <v/>
      </c>
      <c r="P171" s="102" t="str">
        <f t="shared" si="33"/>
        <v/>
      </c>
      <c r="Q171" s="68">
        <f t="shared" si="34"/>
        <v>0</v>
      </c>
      <c r="R171" s="102" t="str">
        <f t="shared" si="29"/>
        <v/>
      </c>
    </row>
    <row r="172" spans="1:18">
      <c r="A172" s="58" t="str">
        <f t="shared" si="30"/>
        <v/>
      </c>
      <c r="B172" s="58"/>
      <c r="C172" s="57"/>
      <c r="D172" s="58"/>
      <c r="E172" s="58"/>
      <c r="F172" s="58"/>
      <c r="G172" s="58"/>
      <c r="H172" s="58"/>
      <c r="I172" s="58"/>
      <c r="J172" s="58" t="str">
        <f t="shared" si="26"/>
        <v/>
      </c>
      <c r="K172" s="58" t="str">
        <f t="shared" si="27"/>
        <v/>
      </c>
      <c r="L172" s="59" t="str">
        <f>IF(C172="","",DATEDIF(C172,'Premium Table'!$B$6,"Y"))</f>
        <v/>
      </c>
      <c r="M172" s="59" t="str">
        <f t="shared" si="31"/>
        <v/>
      </c>
      <c r="N172" s="59" t="str">
        <f t="shared" si="28"/>
        <v/>
      </c>
      <c r="O172" s="102" t="str">
        <f t="shared" si="32"/>
        <v/>
      </c>
      <c r="P172" s="102" t="str">
        <f t="shared" si="33"/>
        <v/>
      </c>
      <c r="Q172" s="68">
        <f t="shared" si="34"/>
        <v>0</v>
      </c>
      <c r="R172" s="102" t="str">
        <f t="shared" si="29"/>
        <v/>
      </c>
    </row>
    <row r="173" spans="1:18">
      <c r="A173" s="58" t="str">
        <f t="shared" si="30"/>
        <v/>
      </c>
      <c r="B173" s="58"/>
      <c r="C173" s="57"/>
      <c r="D173" s="58"/>
      <c r="E173" s="58"/>
      <c r="F173" s="58"/>
      <c r="G173" s="58"/>
      <c r="H173" s="58"/>
      <c r="I173" s="58"/>
      <c r="J173" s="58" t="str">
        <f t="shared" si="26"/>
        <v/>
      </c>
      <c r="K173" s="58" t="str">
        <f t="shared" si="27"/>
        <v/>
      </c>
      <c r="L173" s="59" t="str">
        <f>IF(C173="","",DATEDIF(C173,'Premium Table'!$B$6,"Y"))</f>
        <v/>
      </c>
      <c r="M173" s="59" t="str">
        <f t="shared" si="31"/>
        <v/>
      </c>
      <c r="N173" s="59" t="str">
        <f t="shared" si="28"/>
        <v/>
      </c>
      <c r="O173" s="102" t="str">
        <f t="shared" si="32"/>
        <v/>
      </c>
      <c r="P173" s="102" t="str">
        <f t="shared" si="33"/>
        <v/>
      </c>
      <c r="Q173" s="68">
        <f t="shared" si="34"/>
        <v>0</v>
      </c>
      <c r="R173" s="102" t="str">
        <f t="shared" si="29"/>
        <v/>
      </c>
    </row>
    <row r="174" spans="1:18">
      <c r="A174" s="58" t="str">
        <f t="shared" si="30"/>
        <v/>
      </c>
      <c r="B174" s="58"/>
      <c r="C174" s="57"/>
      <c r="D174" s="58"/>
      <c r="E174" s="58"/>
      <c r="F174" s="58"/>
      <c r="G174" s="58"/>
      <c r="H174" s="58"/>
      <c r="I174" s="58"/>
      <c r="J174" s="58" t="str">
        <f t="shared" si="26"/>
        <v/>
      </c>
      <c r="K174" s="58" t="str">
        <f t="shared" si="27"/>
        <v/>
      </c>
      <c r="L174" s="59" t="str">
        <f>IF(C174="","",DATEDIF(C174,'Premium Table'!$B$6,"Y"))</f>
        <v/>
      </c>
      <c r="M174" s="59" t="str">
        <f t="shared" si="31"/>
        <v/>
      </c>
      <c r="N174" s="59" t="str">
        <f t="shared" si="28"/>
        <v/>
      </c>
      <c r="O174" s="102" t="str">
        <f t="shared" si="32"/>
        <v/>
      </c>
      <c r="P174" s="102" t="str">
        <f t="shared" si="33"/>
        <v/>
      </c>
      <c r="Q174" s="68">
        <f t="shared" si="34"/>
        <v>0</v>
      </c>
      <c r="R174" s="102" t="str">
        <f t="shared" si="29"/>
        <v/>
      </c>
    </row>
    <row r="175" spans="1:18">
      <c r="A175" s="58" t="str">
        <f t="shared" si="30"/>
        <v/>
      </c>
      <c r="B175" s="58"/>
      <c r="C175" s="57"/>
      <c r="D175" s="58"/>
      <c r="E175" s="58"/>
      <c r="F175" s="58"/>
      <c r="G175" s="58"/>
      <c r="H175" s="58"/>
      <c r="I175" s="58"/>
      <c r="J175" s="58" t="str">
        <f t="shared" si="26"/>
        <v/>
      </c>
      <c r="K175" s="58" t="str">
        <f t="shared" si="27"/>
        <v/>
      </c>
      <c r="L175" s="59" t="str">
        <f>IF(C175="","",DATEDIF(C175,'Premium Table'!$B$6,"Y"))</f>
        <v/>
      </c>
      <c r="M175" s="59" t="str">
        <f t="shared" si="31"/>
        <v/>
      </c>
      <c r="N175" s="59" t="str">
        <f t="shared" si="28"/>
        <v/>
      </c>
      <c r="O175" s="102" t="str">
        <f t="shared" si="32"/>
        <v/>
      </c>
      <c r="P175" s="102" t="str">
        <f t="shared" si="33"/>
        <v/>
      </c>
      <c r="Q175" s="68">
        <f t="shared" si="34"/>
        <v>0</v>
      </c>
      <c r="R175" s="102" t="str">
        <f t="shared" si="29"/>
        <v/>
      </c>
    </row>
    <row r="176" spans="1:18">
      <c r="A176" s="58" t="str">
        <f t="shared" si="30"/>
        <v/>
      </c>
      <c r="B176" s="58"/>
      <c r="C176" s="57"/>
      <c r="D176" s="58"/>
      <c r="E176" s="58"/>
      <c r="F176" s="58"/>
      <c r="G176" s="58"/>
      <c r="H176" s="58"/>
      <c r="I176" s="58"/>
      <c r="J176" s="58" t="str">
        <f t="shared" si="26"/>
        <v/>
      </c>
      <c r="K176" s="58" t="str">
        <f t="shared" si="27"/>
        <v/>
      </c>
      <c r="L176" s="59" t="str">
        <f>IF(C176="","",DATEDIF(C176,'Premium Table'!$B$6,"Y"))</f>
        <v/>
      </c>
      <c r="M176" s="59" t="str">
        <f t="shared" si="31"/>
        <v/>
      </c>
      <c r="N176" s="59" t="str">
        <f t="shared" si="28"/>
        <v/>
      </c>
      <c r="O176" s="102" t="str">
        <f t="shared" si="32"/>
        <v/>
      </c>
      <c r="P176" s="102" t="str">
        <f t="shared" si="33"/>
        <v/>
      </c>
      <c r="Q176" s="68">
        <f t="shared" si="34"/>
        <v>0</v>
      </c>
      <c r="R176" s="102" t="str">
        <f t="shared" si="29"/>
        <v/>
      </c>
    </row>
    <row r="177" spans="1:18">
      <c r="A177" s="58" t="str">
        <f t="shared" si="30"/>
        <v/>
      </c>
      <c r="B177" s="58"/>
      <c r="C177" s="57"/>
      <c r="D177" s="58"/>
      <c r="E177" s="58"/>
      <c r="F177" s="58"/>
      <c r="G177" s="58"/>
      <c r="H177" s="58"/>
      <c r="I177" s="58"/>
      <c r="J177" s="58" t="str">
        <f t="shared" si="26"/>
        <v/>
      </c>
      <c r="K177" s="58" t="str">
        <f t="shared" si="27"/>
        <v/>
      </c>
      <c r="L177" s="59" t="str">
        <f>IF(C177="","",DATEDIF(C177,'Premium Table'!$B$6,"Y"))</f>
        <v/>
      </c>
      <c r="M177" s="59" t="str">
        <f t="shared" si="31"/>
        <v/>
      </c>
      <c r="N177" s="59" t="str">
        <f t="shared" si="28"/>
        <v/>
      </c>
      <c r="O177" s="102" t="str">
        <f t="shared" si="32"/>
        <v/>
      </c>
      <c r="P177" s="102" t="str">
        <f t="shared" si="33"/>
        <v/>
      </c>
      <c r="Q177" s="68">
        <f t="shared" si="34"/>
        <v>0</v>
      </c>
      <c r="R177" s="102" t="str">
        <f t="shared" si="29"/>
        <v/>
      </c>
    </row>
    <row r="178" spans="1:18">
      <c r="A178" s="58" t="str">
        <f t="shared" si="30"/>
        <v/>
      </c>
      <c r="B178" s="58"/>
      <c r="C178" s="57"/>
      <c r="D178" s="58"/>
      <c r="E178" s="58"/>
      <c r="F178" s="58"/>
      <c r="G178" s="58"/>
      <c r="H178" s="58"/>
      <c r="I178" s="58"/>
      <c r="J178" s="58" t="str">
        <f t="shared" si="26"/>
        <v/>
      </c>
      <c r="K178" s="58" t="str">
        <f t="shared" si="27"/>
        <v/>
      </c>
      <c r="L178" s="59" t="str">
        <f>IF(C178="","",DATEDIF(C178,'Premium Table'!$B$6,"Y"))</f>
        <v/>
      </c>
      <c r="M178" s="59" t="str">
        <f t="shared" si="31"/>
        <v/>
      </c>
      <c r="N178" s="59" t="str">
        <f t="shared" si="28"/>
        <v/>
      </c>
      <c r="O178" s="102" t="str">
        <f t="shared" si="32"/>
        <v/>
      </c>
      <c r="P178" s="102" t="str">
        <f t="shared" si="33"/>
        <v/>
      </c>
      <c r="Q178" s="68">
        <f t="shared" si="34"/>
        <v>0</v>
      </c>
      <c r="R178" s="102" t="str">
        <f t="shared" si="29"/>
        <v/>
      </c>
    </row>
    <row r="179" spans="1:18">
      <c r="A179" s="58" t="str">
        <f t="shared" si="30"/>
        <v/>
      </c>
      <c r="B179" s="58"/>
      <c r="C179" s="57"/>
      <c r="D179" s="58"/>
      <c r="E179" s="58"/>
      <c r="F179" s="58"/>
      <c r="G179" s="58"/>
      <c r="H179" s="58"/>
      <c r="I179" s="58"/>
      <c r="J179" s="58" t="str">
        <f t="shared" si="26"/>
        <v/>
      </c>
      <c r="K179" s="58" t="str">
        <f t="shared" si="27"/>
        <v/>
      </c>
      <c r="L179" s="59" t="str">
        <f>IF(C179="","",DATEDIF(C179,'Premium Table'!$B$6,"Y"))</f>
        <v/>
      </c>
      <c r="M179" s="59" t="str">
        <f t="shared" si="31"/>
        <v/>
      </c>
      <c r="N179" s="59" t="str">
        <f t="shared" si="28"/>
        <v/>
      </c>
      <c r="O179" s="102" t="str">
        <f t="shared" si="32"/>
        <v/>
      </c>
      <c r="P179" s="102" t="str">
        <f t="shared" si="33"/>
        <v/>
      </c>
      <c r="Q179" s="68">
        <f t="shared" si="34"/>
        <v>0</v>
      </c>
      <c r="R179" s="102" t="str">
        <f t="shared" si="29"/>
        <v/>
      </c>
    </row>
    <row r="180" spans="1:18">
      <c r="A180" s="58" t="str">
        <f t="shared" si="30"/>
        <v/>
      </c>
      <c r="B180" s="58"/>
      <c r="C180" s="57"/>
      <c r="D180" s="58"/>
      <c r="E180" s="58"/>
      <c r="F180" s="58"/>
      <c r="G180" s="58"/>
      <c r="H180" s="58"/>
      <c r="I180" s="58"/>
      <c r="J180" s="58" t="str">
        <f t="shared" si="26"/>
        <v/>
      </c>
      <c r="K180" s="58" t="str">
        <f t="shared" si="27"/>
        <v/>
      </c>
      <c r="L180" s="59" t="str">
        <f>IF(C180="","",DATEDIF(C180,'Premium Table'!$B$6,"Y"))</f>
        <v/>
      </c>
      <c r="M180" s="59" t="str">
        <f t="shared" si="31"/>
        <v/>
      </c>
      <c r="N180" s="59" t="str">
        <f t="shared" si="28"/>
        <v/>
      </c>
      <c r="O180" s="102" t="str">
        <f t="shared" si="32"/>
        <v/>
      </c>
      <c r="P180" s="102" t="str">
        <f t="shared" si="33"/>
        <v/>
      </c>
      <c r="Q180" s="68">
        <f t="shared" si="34"/>
        <v>0</v>
      </c>
      <c r="R180" s="102" t="str">
        <f t="shared" si="29"/>
        <v/>
      </c>
    </row>
    <row r="181" spans="1:18">
      <c r="A181" s="58" t="str">
        <f t="shared" si="30"/>
        <v/>
      </c>
      <c r="B181" s="58"/>
      <c r="C181" s="57"/>
      <c r="D181" s="58"/>
      <c r="E181" s="58"/>
      <c r="F181" s="58"/>
      <c r="G181" s="58"/>
      <c r="H181" s="58"/>
      <c r="I181" s="58"/>
      <c r="J181" s="58" t="str">
        <f t="shared" si="26"/>
        <v/>
      </c>
      <c r="K181" s="58" t="str">
        <f t="shared" si="27"/>
        <v/>
      </c>
      <c r="L181" s="59" t="str">
        <f>IF(C181="","",DATEDIF(C181,'Premium Table'!$B$6,"Y"))</f>
        <v/>
      </c>
      <c r="M181" s="59" t="str">
        <f t="shared" si="31"/>
        <v/>
      </c>
      <c r="N181" s="59" t="str">
        <f t="shared" si="28"/>
        <v/>
      </c>
      <c r="O181" s="102" t="str">
        <f t="shared" si="32"/>
        <v/>
      </c>
      <c r="P181" s="102" t="str">
        <f t="shared" si="33"/>
        <v/>
      </c>
      <c r="Q181" s="68">
        <f t="shared" si="34"/>
        <v>0</v>
      </c>
      <c r="R181" s="102" t="str">
        <f t="shared" si="29"/>
        <v/>
      </c>
    </row>
    <row r="182" spans="1:18">
      <c r="A182" s="58" t="str">
        <f t="shared" si="30"/>
        <v/>
      </c>
      <c r="B182" s="58"/>
      <c r="C182" s="57"/>
      <c r="D182" s="58"/>
      <c r="E182" s="58"/>
      <c r="F182" s="58"/>
      <c r="G182" s="58"/>
      <c r="H182" s="58"/>
      <c r="I182" s="58"/>
      <c r="J182" s="58" t="str">
        <f t="shared" si="26"/>
        <v/>
      </c>
      <c r="K182" s="58" t="str">
        <f t="shared" si="27"/>
        <v/>
      </c>
      <c r="L182" s="59" t="str">
        <f>IF(C182="","",DATEDIF(C182,'Premium Table'!$B$6,"Y"))</f>
        <v/>
      </c>
      <c r="M182" s="59" t="str">
        <f t="shared" si="31"/>
        <v/>
      </c>
      <c r="N182" s="59" t="str">
        <f t="shared" si="28"/>
        <v/>
      </c>
      <c r="O182" s="102" t="str">
        <f t="shared" si="32"/>
        <v/>
      </c>
      <c r="P182" s="102" t="str">
        <f t="shared" si="33"/>
        <v/>
      </c>
      <c r="Q182" s="68">
        <f t="shared" si="34"/>
        <v>0</v>
      </c>
      <c r="R182" s="102" t="str">
        <f t="shared" si="29"/>
        <v/>
      </c>
    </row>
    <row r="183" spans="1:18">
      <c r="A183" s="58" t="str">
        <f t="shared" si="30"/>
        <v/>
      </c>
      <c r="B183" s="58"/>
      <c r="C183" s="57"/>
      <c r="D183" s="58"/>
      <c r="E183" s="58"/>
      <c r="F183" s="58"/>
      <c r="G183" s="58"/>
      <c r="H183" s="58"/>
      <c r="I183" s="58"/>
      <c r="J183" s="58" t="str">
        <f t="shared" si="26"/>
        <v/>
      </c>
      <c r="K183" s="58" t="str">
        <f t="shared" si="27"/>
        <v/>
      </c>
      <c r="L183" s="59" t="str">
        <f>IF(C183="","",DATEDIF(C183,'Premium Table'!$B$6,"Y"))</f>
        <v/>
      </c>
      <c r="M183" s="59" t="str">
        <f t="shared" si="31"/>
        <v/>
      </c>
      <c r="N183" s="59" t="str">
        <f t="shared" si="28"/>
        <v/>
      </c>
      <c r="O183" s="102" t="str">
        <f t="shared" si="32"/>
        <v/>
      </c>
      <c r="P183" s="102" t="str">
        <f t="shared" si="33"/>
        <v/>
      </c>
      <c r="Q183" s="68">
        <f t="shared" si="34"/>
        <v>0</v>
      </c>
      <c r="R183" s="102" t="str">
        <f t="shared" si="29"/>
        <v/>
      </c>
    </row>
    <row r="184" spans="1:18">
      <c r="A184" s="58" t="str">
        <f t="shared" si="30"/>
        <v/>
      </c>
      <c r="B184" s="58"/>
      <c r="C184" s="57"/>
      <c r="D184" s="58"/>
      <c r="E184" s="58"/>
      <c r="F184" s="58"/>
      <c r="G184" s="58"/>
      <c r="H184" s="58"/>
      <c r="I184" s="58"/>
      <c r="J184" s="58" t="str">
        <f t="shared" si="26"/>
        <v/>
      </c>
      <c r="K184" s="58" t="str">
        <f t="shared" si="27"/>
        <v/>
      </c>
      <c r="L184" s="59" t="str">
        <f>IF(C184="","",DATEDIF(C184,'Premium Table'!$B$6,"Y"))</f>
        <v/>
      </c>
      <c r="M184" s="59" t="str">
        <f t="shared" si="31"/>
        <v/>
      </c>
      <c r="N184" s="59" t="str">
        <f t="shared" si="28"/>
        <v/>
      </c>
      <c r="O184" s="102" t="str">
        <f t="shared" si="32"/>
        <v/>
      </c>
      <c r="P184" s="102" t="str">
        <f t="shared" si="33"/>
        <v/>
      </c>
      <c r="Q184" s="68">
        <f t="shared" si="34"/>
        <v>0</v>
      </c>
      <c r="R184" s="102" t="str">
        <f t="shared" si="29"/>
        <v/>
      </c>
    </row>
    <row r="185" spans="1:18">
      <c r="A185" s="58" t="str">
        <f t="shared" si="30"/>
        <v/>
      </c>
      <c r="B185" s="58"/>
      <c r="C185" s="57"/>
      <c r="D185" s="58"/>
      <c r="E185" s="58"/>
      <c r="F185" s="58"/>
      <c r="G185" s="58"/>
      <c r="H185" s="58"/>
      <c r="I185" s="58"/>
      <c r="J185" s="58" t="str">
        <f t="shared" si="26"/>
        <v/>
      </c>
      <c r="K185" s="58" t="str">
        <f t="shared" si="27"/>
        <v/>
      </c>
      <c r="L185" s="59" t="str">
        <f>IF(C185="","",DATEDIF(C185,'Premium Table'!$B$6,"Y"))</f>
        <v/>
      </c>
      <c r="M185" s="59" t="str">
        <f t="shared" si="31"/>
        <v/>
      </c>
      <c r="N185" s="59" t="str">
        <f t="shared" si="28"/>
        <v/>
      </c>
      <c r="O185" s="102" t="str">
        <f t="shared" si="32"/>
        <v/>
      </c>
      <c r="P185" s="102" t="str">
        <f t="shared" si="33"/>
        <v/>
      </c>
      <c r="Q185" s="68">
        <f t="shared" si="34"/>
        <v>0</v>
      </c>
      <c r="R185" s="102" t="str">
        <f t="shared" si="29"/>
        <v/>
      </c>
    </row>
    <row r="186" spans="1:18">
      <c r="A186" s="58" t="str">
        <f t="shared" si="30"/>
        <v/>
      </c>
      <c r="B186" s="58"/>
      <c r="C186" s="57"/>
      <c r="D186" s="58"/>
      <c r="E186" s="58"/>
      <c r="F186" s="58"/>
      <c r="G186" s="58"/>
      <c r="H186" s="58"/>
      <c r="I186" s="58"/>
      <c r="J186" s="58" t="str">
        <f t="shared" si="26"/>
        <v/>
      </c>
      <c r="K186" s="58" t="str">
        <f t="shared" si="27"/>
        <v/>
      </c>
      <c r="L186" s="59" t="str">
        <f>IF(C186="","",DATEDIF(C186,'Premium Table'!$B$6,"Y"))</f>
        <v/>
      </c>
      <c r="M186" s="59" t="str">
        <f t="shared" si="31"/>
        <v/>
      </c>
      <c r="N186" s="59" t="str">
        <f t="shared" si="28"/>
        <v/>
      </c>
      <c r="O186" s="102" t="str">
        <f t="shared" si="32"/>
        <v/>
      </c>
      <c r="P186" s="102" t="str">
        <f t="shared" si="33"/>
        <v/>
      </c>
      <c r="Q186" s="68">
        <f t="shared" si="34"/>
        <v>0</v>
      </c>
      <c r="R186" s="102" t="str">
        <f t="shared" si="29"/>
        <v/>
      </c>
    </row>
    <row r="187" spans="1:18">
      <c r="A187" s="58" t="str">
        <f t="shared" si="30"/>
        <v/>
      </c>
      <c r="B187" s="58"/>
      <c r="C187" s="57"/>
      <c r="D187" s="58"/>
      <c r="E187" s="58"/>
      <c r="F187" s="58"/>
      <c r="G187" s="58"/>
      <c r="H187" s="58"/>
      <c r="I187" s="58"/>
      <c r="J187" s="58" t="str">
        <f t="shared" si="26"/>
        <v/>
      </c>
      <c r="K187" s="58" t="str">
        <f t="shared" si="27"/>
        <v/>
      </c>
      <c r="L187" s="59" t="str">
        <f>IF(C187="","",DATEDIF(C187,'Premium Table'!$B$6,"Y"))</f>
        <v/>
      </c>
      <c r="M187" s="59" t="str">
        <f t="shared" si="31"/>
        <v/>
      </c>
      <c r="N187" s="59" t="str">
        <f t="shared" si="28"/>
        <v/>
      </c>
      <c r="O187" s="102" t="str">
        <f t="shared" si="32"/>
        <v/>
      </c>
      <c r="P187" s="102" t="str">
        <f t="shared" si="33"/>
        <v/>
      </c>
      <c r="Q187" s="68">
        <f t="shared" si="34"/>
        <v>0</v>
      </c>
      <c r="R187" s="102" t="str">
        <f t="shared" si="29"/>
        <v/>
      </c>
    </row>
    <row r="188" spans="1:18">
      <c r="A188" s="58" t="str">
        <f t="shared" si="30"/>
        <v/>
      </c>
      <c r="B188" s="58"/>
      <c r="C188" s="57"/>
      <c r="D188" s="58"/>
      <c r="E188" s="58"/>
      <c r="F188" s="58"/>
      <c r="G188" s="58"/>
      <c r="H188" s="58"/>
      <c r="I188" s="58"/>
      <c r="J188" s="58" t="str">
        <f t="shared" si="26"/>
        <v/>
      </c>
      <c r="K188" s="58" t="str">
        <f t="shared" si="27"/>
        <v/>
      </c>
      <c r="L188" s="59" t="str">
        <f>IF(C188="","",DATEDIF(C188,'Premium Table'!$B$6,"Y"))</f>
        <v/>
      </c>
      <c r="M188" s="59" t="str">
        <f t="shared" si="31"/>
        <v/>
      </c>
      <c r="N188" s="59" t="str">
        <f t="shared" si="28"/>
        <v/>
      </c>
      <c r="O188" s="102" t="str">
        <f t="shared" si="32"/>
        <v/>
      </c>
      <c r="P188" s="102" t="str">
        <f t="shared" si="33"/>
        <v/>
      </c>
      <c r="Q188" s="68">
        <f t="shared" si="34"/>
        <v>0</v>
      </c>
      <c r="R188" s="102" t="str">
        <f t="shared" si="29"/>
        <v/>
      </c>
    </row>
    <row r="189" spans="1:18">
      <c r="A189" s="58" t="str">
        <f t="shared" si="30"/>
        <v/>
      </c>
      <c r="B189" s="58"/>
      <c r="C189" s="57"/>
      <c r="D189" s="58"/>
      <c r="E189" s="58"/>
      <c r="F189" s="58"/>
      <c r="G189" s="58"/>
      <c r="H189" s="58"/>
      <c r="I189" s="58"/>
      <c r="J189" s="58" t="str">
        <f t="shared" si="26"/>
        <v/>
      </c>
      <c r="K189" s="58" t="str">
        <f t="shared" si="27"/>
        <v/>
      </c>
      <c r="L189" s="59" t="str">
        <f>IF(C189="","",DATEDIF(C189,'Premium Table'!$B$6,"Y"))</f>
        <v/>
      </c>
      <c r="M189" s="59" t="str">
        <f t="shared" si="31"/>
        <v/>
      </c>
      <c r="N189" s="59" t="str">
        <f t="shared" si="28"/>
        <v/>
      </c>
      <c r="O189" s="102" t="str">
        <f t="shared" si="32"/>
        <v/>
      </c>
      <c r="P189" s="102" t="str">
        <f t="shared" si="33"/>
        <v/>
      </c>
      <c r="Q189" s="68">
        <f t="shared" si="34"/>
        <v>0</v>
      </c>
      <c r="R189" s="102" t="str">
        <f t="shared" si="29"/>
        <v/>
      </c>
    </row>
    <row r="190" spans="1:18">
      <c r="A190" s="58" t="str">
        <f t="shared" si="30"/>
        <v/>
      </c>
      <c r="B190" s="58"/>
      <c r="C190" s="57"/>
      <c r="D190" s="58"/>
      <c r="E190" s="58"/>
      <c r="F190" s="58"/>
      <c r="G190" s="58"/>
      <c r="H190" s="58"/>
      <c r="I190" s="58"/>
      <c r="J190" s="58" t="str">
        <f t="shared" si="26"/>
        <v/>
      </c>
      <c r="K190" s="58" t="str">
        <f t="shared" si="27"/>
        <v/>
      </c>
      <c r="L190" s="59" t="str">
        <f>IF(C190="","",DATEDIF(C190,'Premium Table'!$B$6,"Y"))</f>
        <v/>
      </c>
      <c r="M190" s="59" t="str">
        <f t="shared" si="31"/>
        <v/>
      </c>
      <c r="N190" s="59" t="str">
        <f t="shared" si="28"/>
        <v/>
      </c>
      <c r="O190" s="102" t="str">
        <f t="shared" si="32"/>
        <v/>
      </c>
      <c r="P190" s="102" t="str">
        <f t="shared" si="33"/>
        <v/>
      </c>
      <c r="Q190" s="68">
        <f t="shared" si="34"/>
        <v>0</v>
      </c>
      <c r="R190" s="102" t="str">
        <f t="shared" si="29"/>
        <v/>
      </c>
    </row>
    <row r="191" spans="1:18">
      <c r="A191" s="58" t="str">
        <f t="shared" si="30"/>
        <v/>
      </c>
      <c r="B191" s="58"/>
      <c r="C191" s="57"/>
      <c r="D191" s="58"/>
      <c r="E191" s="58"/>
      <c r="F191" s="58"/>
      <c r="G191" s="58"/>
      <c r="H191" s="58"/>
      <c r="I191" s="58"/>
      <c r="J191" s="58" t="str">
        <f t="shared" si="26"/>
        <v/>
      </c>
      <c r="K191" s="58" t="str">
        <f t="shared" si="27"/>
        <v/>
      </c>
      <c r="L191" s="59" t="str">
        <f>IF(C191="","",DATEDIF(C191,'Premium Table'!$B$6,"Y"))</f>
        <v/>
      </c>
      <c r="M191" s="59" t="str">
        <f t="shared" si="31"/>
        <v/>
      </c>
      <c r="N191" s="59" t="str">
        <f t="shared" si="28"/>
        <v/>
      </c>
      <c r="O191" s="102" t="str">
        <f t="shared" si="32"/>
        <v/>
      </c>
      <c r="P191" s="102" t="str">
        <f t="shared" si="33"/>
        <v/>
      </c>
      <c r="Q191" s="68">
        <f t="shared" si="34"/>
        <v>0</v>
      </c>
      <c r="R191" s="102" t="str">
        <f t="shared" si="29"/>
        <v/>
      </c>
    </row>
    <row r="192" spans="1:18">
      <c r="A192" s="58" t="str">
        <f t="shared" si="30"/>
        <v/>
      </c>
      <c r="B192" s="58"/>
      <c r="C192" s="57"/>
      <c r="D192" s="58"/>
      <c r="E192" s="58"/>
      <c r="F192" s="58"/>
      <c r="G192" s="58"/>
      <c r="H192" s="58"/>
      <c r="I192" s="58"/>
      <c r="J192" s="58" t="str">
        <f t="shared" si="26"/>
        <v/>
      </c>
      <c r="K192" s="58" t="str">
        <f t="shared" si="27"/>
        <v/>
      </c>
      <c r="L192" s="59" t="str">
        <f>IF(C192="","",DATEDIF(C192,'Premium Table'!$B$6,"Y"))</f>
        <v/>
      </c>
      <c r="M192" s="59" t="str">
        <f t="shared" si="31"/>
        <v/>
      </c>
      <c r="N192" s="59" t="str">
        <f t="shared" si="28"/>
        <v/>
      </c>
      <c r="O192" s="102" t="str">
        <f t="shared" si="32"/>
        <v/>
      </c>
      <c r="P192" s="102" t="str">
        <f t="shared" si="33"/>
        <v/>
      </c>
      <c r="Q192" s="68">
        <f t="shared" si="34"/>
        <v>0</v>
      </c>
      <c r="R192" s="102" t="str">
        <f t="shared" si="29"/>
        <v/>
      </c>
    </row>
    <row r="193" spans="1:18">
      <c r="A193" s="58" t="str">
        <f t="shared" si="30"/>
        <v/>
      </c>
      <c r="B193" s="58"/>
      <c r="C193" s="57"/>
      <c r="D193" s="58"/>
      <c r="E193" s="58"/>
      <c r="F193" s="58"/>
      <c r="G193" s="58"/>
      <c r="H193" s="58"/>
      <c r="I193" s="58"/>
      <c r="J193" s="58" t="str">
        <f t="shared" si="26"/>
        <v/>
      </c>
      <c r="K193" s="58" t="str">
        <f t="shared" si="27"/>
        <v/>
      </c>
      <c r="L193" s="59" t="str">
        <f>IF(C193="","",DATEDIF(C193,'Premium Table'!$B$6,"Y"))</f>
        <v/>
      </c>
      <c r="M193" s="59" t="str">
        <f t="shared" si="31"/>
        <v/>
      </c>
      <c r="N193" s="59" t="str">
        <f t="shared" si="28"/>
        <v/>
      </c>
      <c r="O193" s="102" t="str">
        <f t="shared" si="32"/>
        <v/>
      </c>
      <c r="P193" s="102" t="str">
        <f t="shared" si="33"/>
        <v/>
      </c>
      <c r="Q193" s="68">
        <f t="shared" si="34"/>
        <v>0</v>
      </c>
      <c r="R193" s="102" t="str">
        <f t="shared" si="29"/>
        <v/>
      </c>
    </row>
    <row r="194" spans="1:18">
      <c r="A194" s="58" t="str">
        <f t="shared" si="30"/>
        <v/>
      </c>
      <c r="B194" s="58"/>
      <c r="C194" s="57"/>
      <c r="D194" s="58"/>
      <c r="E194" s="58"/>
      <c r="F194" s="58"/>
      <c r="G194" s="58"/>
      <c r="H194" s="58"/>
      <c r="I194" s="58"/>
      <c r="J194" s="58" t="str">
        <f t="shared" si="26"/>
        <v/>
      </c>
      <c r="K194" s="58" t="str">
        <f t="shared" si="27"/>
        <v/>
      </c>
      <c r="L194" s="59" t="str">
        <f>IF(C194="","",DATEDIF(C194,'Premium Table'!$B$6,"Y"))</f>
        <v/>
      </c>
      <c r="M194" s="59" t="str">
        <f t="shared" si="31"/>
        <v/>
      </c>
      <c r="N194" s="59" t="str">
        <f t="shared" si="28"/>
        <v/>
      </c>
      <c r="O194" s="102" t="str">
        <f t="shared" si="32"/>
        <v/>
      </c>
      <c r="P194" s="102" t="str">
        <f t="shared" si="33"/>
        <v/>
      </c>
      <c r="Q194" s="68">
        <f t="shared" si="34"/>
        <v>0</v>
      </c>
      <c r="R194" s="102" t="str">
        <f t="shared" si="29"/>
        <v/>
      </c>
    </row>
    <row r="195" spans="1:18">
      <c r="A195" s="58" t="str">
        <f t="shared" si="30"/>
        <v/>
      </c>
      <c r="B195" s="58"/>
      <c r="C195" s="57"/>
      <c r="D195" s="58"/>
      <c r="E195" s="58"/>
      <c r="F195" s="58"/>
      <c r="G195" s="58"/>
      <c r="H195" s="58"/>
      <c r="I195" s="58"/>
      <c r="J195" s="58" t="str">
        <f t="shared" si="26"/>
        <v/>
      </c>
      <c r="K195" s="58" t="str">
        <f t="shared" si="27"/>
        <v/>
      </c>
      <c r="L195" s="59" t="str">
        <f>IF(C195="","",DATEDIF(C195,'Premium Table'!$B$6,"Y"))</f>
        <v/>
      </c>
      <c r="M195" s="59" t="str">
        <f t="shared" si="31"/>
        <v/>
      </c>
      <c r="N195" s="59" t="str">
        <f t="shared" si="28"/>
        <v/>
      </c>
      <c r="O195" s="102" t="str">
        <f t="shared" si="32"/>
        <v/>
      </c>
      <c r="P195" s="102" t="str">
        <f t="shared" si="33"/>
        <v/>
      </c>
      <c r="Q195" s="68">
        <f t="shared" si="34"/>
        <v>0</v>
      </c>
      <c r="R195" s="102" t="str">
        <f t="shared" si="29"/>
        <v/>
      </c>
    </row>
    <row r="196" spans="1:18">
      <c r="A196" s="58" t="str">
        <f t="shared" si="30"/>
        <v/>
      </c>
      <c r="B196" s="58"/>
      <c r="C196" s="57"/>
      <c r="D196" s="58"/>
      <c r="E196" s="58"/>
      <c r="F196" s="58"/>
      <c r="G196" s="58"/>
      <c r="H196" s="58"/>
      <c r="I196" s="58"/>
      <c r="J196" s="58" t="str">
        <f t="shared" si="26"/>
        <v/>
      </c>
      <c r="K196" s="58" t="str">
        <f t="shared" si="27"/>
        <v/>
      </c>
      <c r="L196" s="59" t="str">
        <f>IF(C196="","",DATEDIF(C196,'Premium Table'!$B$6,"Y"))</f>
        <v/>
      </c>
      <c r="M196" s="59" t="str">
        <f t="shared" si="31"/>
        <v/>
      </c>
      <c r="N196" s="59" t="str">
        <f t="shared" si="28"/>
        <v/>
      </c>
      <c r="O196" s="102" t="str">
        <f t="shared" si="32"/>
        <v/>
      </c>
      <c r="P196" s="102" t="str">
        <f t="shared" si="33"/>
        <v/>
      </c>
      <c r="Q196" s="68">
        <f t="shared" si="34"/>
        <v>0</v>
      </c>
      <c r="R196" s="102" t="str">
        <f t="shared" si="29"/>
        <v/>
      </c>
    </row>
    <row r="197" spans="1:18">
      <c r="A197" s="58" t="str">
        <f t="shared" si="30"/>
        <v/>
      </c>
      <c r="B197" s="58"/>
      <c r="C197" s="57"/>
      <c r="D197" s="58"/>
      <c r="E197" s="58"/>
      <c r="F197" s="58"/>
      <c r="G197" s="58"/>
      <c r="H197" s="58"/>
      <c r="I197" s="58"/>
      <c r="J197" s="58" t="str">
        <f t="shared" si="26"/>
        <v/>
      </c>
      <c r="K197" s="58" t="str">
        <f t="shared" si="27"/>
        <v/>
      </c>
      <c r="L197" s="59" t="str">
        <f>IF(C197="","",DATEDIF(C197,'Premium Table'!$B$6,"Y"))</f>
        <v/>
      </c>
      <c r="M197" s="59" t="str">
        <f t="shared" si="31"/>
        <v/>
      </c>
      <c r="N197" s="59" t="str">
        <f t="shared" si="28"/>
        <v/>
      </c>
      <c r="O197" s="102" t="str">
        <f t="shared" si="32"/>
        <v/>
      </c>
      <c r="P197" s="102" t="str">
        <f t="shared" si="33"/>
        <v/>
      </c>
      <c r="Q197" s="68">
        <f t="shared" si="34"/>
        <v>0</v>
      </c>
      <c r="R197" s="102" t="str">
        <f t="shared" si="29"/>
        <v/>
      </c>
    </row>
    <row r="198" spans="1:18">
      <c r="A198" s="58" t="str">
        <f t="shared" si="30"/>
        <v/>
      </c>
      <c r="B198" s="58"/>
      <c r="C198" s="57"/>
      <c r="D198" s="58"/>
      <c r="E198" s="58"/>
      <c r="F198" s="58"/>
      <c r="G198" s="58"/>
      <c r="H198" s="58"/>
      <c r="I198" s="58"/>
      <c r="J198" s="58" t="str">
        <f t="shared" ref="J198:J261" si="35">IF(D198="","",E198&amp;LEFT(D198)&amp;IF(F198="Employee","E","D"))</f>
        <v/>
      </c>
      <c r="K198" s="58" t="str">
        <f t="shared" ref="K198:K261" si="36">IF(J198="","",VLOOKUP(J198,$Y$19:$Z$50,2,FALSE))</f>
        <v/>
      </c>
      <c r="L198" s="59" t="str">
        <f>IF(C198="","",DATEDIF(C198,'Premium Table'!$B$6,"Y"))</f>
        <v/>
      </c>
      <c r="M198" s="59" t="str">
        <f t="shared" si="31"/>
        <v/>
      </c>
      <c r="N198" s="59" t="str">
        <f t="shared" ref="N198:N261" si="37">IF(L198="","",IF(M198="","",IF(H198="DXB",VLOOKUP(M198,DXBAgeBr,3,FALSE),IF(H198="AUH",VLOOKUP(M198,AUHAgeBr,2,FALSE),""))))</f>
        <v/>
      </c>
      <c r="O198" s="102" t="str">
        <f t="shared" si="32"/>
        <v/>
      </c>
      <c r="P198" s="102" t="str">
        <f t="shared" si="33"/>
        <v/>
      </c>
      <c r="Q198" s="68">
        <f t="shared" si="34"/>
        <v>0</v>
      </c>
      <c r="R198" s="102" t="str">
        <f t="shared" ref="R198:R261" si="38">IF(M198="","",O198+Q198)</f>
        <v/>
      </c>
    </row>
    <row r="199" spans="1:18">
      <c r="A199" s="58" t="str">
        <f t="shared" ref="A199:A262" si="39">IF(C199="","",A198+1)</f>
        <v/>
      </c>
      <c r="B199" s="58"/>
      <c r="C199" s="57"/>
      <c r="D199" s="58"/>
      <c r="E199" s="58"/>
      <c r="F199" s="58"/>
      <c r="G199" s="58"/>
      <c r="H199" s="58"/>
      <c r="I199" s="58"/>
      <c r="J199" s="58" t="str">
        <f t="shared" si="35"/>
        <v/>
      </c>
      <c r="K199" s="58" t="str">
        <f t="shared" si="36"/>
        <v/>
      </c>
      <c r="L199" s="59" t="str">
        <f>IF(C199="","",DATEDIF(C199,'Premium Table'!$B$6,"Y"))</f>
        <v/>
      </c>
      <c r="M199" s="59" t="str">
        <f t="shared" ref="M199:M262" si="40">IF(L199="","",IF(H199="","Choose Plan (DXB/AUH)",IF(H199="DXB",VLOOKUP(L199,$V$55:$W$154,2,FALSE),IF(H199="AUH",VLOOKUP(L199,$V$55:$X$154,3,FALSE),"Choose Plan (DXB/AUH)"))))</f>
        <v/>
      </c>
      <c r="N199" s="59" t="str">
        <f t="shared" si="37"/>
        <v/>
      </c>
      <c r="O199" s="102" t="str">
        <f t="shared" ref="O199:O262" si="41">IF(M199="","",VLOOKUP(N199,$V$5:$BB$17,K199,FALSE))</f>
        <v/>
      </c>
      <c r="P199" s="102" t="str">
        <f t="shared" ref="P199:P262" si="42">IF(L199="","",IF(H199="DXB",46,IF(H199="AUH",51,"")))</f>
        <v/>
      </c>
      <c r="Q199" s="68">
        <f t="shared" ref="Q199:Q262" si="43">IF(AND(LEFT(D199,1)="F",G199="Married",L199&gt;17,L199&lt;P199),HLOOKUP(E199,$W$1:$AA$2,2,FALSE),0)</f>
        <v>0</v>
      </c>
      <c r="R199" s="102" t="str">
        <f t="shared" si="38"/>
        <v/>
      </c>
    </row>
    <row r="200" spans="1:18">
      <c r="A200" s="58" t="str">
        <f t="shared" si="39"/>
        <v/>
      </c>
      <c r="B200" s="58"/>
      <c r="C200" s="57"/>
      <c r="D200" s="58"/>
      <c r="E200" s="58"/>
      <c r="F200" s="58"/>
      <c r="G200" s="58"/>
      <c r="H200" s="58"/>
      <c r="I200" s="58"/>
      <c r="J200" s="58" t="str">
        <f t="shared" si="35"/>
        <v/>
      </c>
      <c r="K200" s="58" t="str">
        <f t="shared" si="36"/>
        <v/>
      </c>
      <c r="L200" s="59" t="str">
        <f>IF(C200="","",DATEDIF(C200,'Premium Table'!$B$6,"Y"))</f>
        <v/>
      </c>
      <c r="M200" s="59" t="str">
        <f t="shared" si="40"/>
        <v/>
      </c>
      <c r="N200" s="59" t="str">
        <f t="shared" si="37"/>
        <v/>
      </c>
      <c r="O200" s="102" t="str">
        <f t="shared" si="41"/>
        <v/>
      </c>
      <c r="P200" s="102" t="str">
        <f t="shared" si="42"/>
        <v/>
      </c>
      <c r="Q200" s="68">
        <f t="shared" si="43"/>
        <v>0</v>
      </c>
      <c r="R200" s="102" t="str">
        <f t="shared" si="38"/>
        <v/>
      </c>
    </row>
    <row r="201" spans="1:18">
      <c r="A201" s="58" t="str">
        <f t="shared" si="39"/>
        <v/>
      </c>
      <c r="B201" s="58"/>
      <c r="C201" s="57"/>
      <c r="D201" s="58"/>
      <c r="E201" s="58"/>
      <c r="F201" s="58"/>
      <c r="G201" s="58"/>
      <c r="H201" s="58"/>
      <c r="I201" s="58"/>
      <c r="J201" s="58" t="str">
        <f t="shared" si="35"/>
        <v/>
      </c>
      <c r="K201" s="58" t="str">
        <f t="shared" si="36"/>
        <v/>
      </c>
      <c r="L201" s="59" t="str">
        <f>IF(C201="","",DATEDIF(C201,'Premium Table'!$B$6,"Y"))</f>
        <v/>
      </c>
      <c r="M201" s="59" t="str">
        <f t="shared" si="40"/>
        <v/>
      </c>
      <c r="N201" s="59" t="str">
        <f t="shared" si="37"/>
        <v/>
      </c>
      <c r="O201" s="102" t="str">
        <f t="shared" si="41"/>
        <v/>
      </c>
      <c r="P201" s="102" t="str">
        <f t="shared" si="42"/>
        <v/>
      </c>
      <c r="Q201" s="68">
        <f t="shared" si="43"/>
        <v>0</v>
      </c>
      <c r="R201" s="102" t="str">
        <f t="shared" si="38"/>
        <v/>
      </c>
    </row>
    <row r="202" spans="1:18">
      <c r="A202" s="58" t="str">
        <f t="shared" si="39"/>
        <v/>
      </c>
      <c r="B202" s="58"/>
      <c r="C202" s="57"/>
      <c r="D202" s="58"/>
      <c r="E202" s="58"/>
      <c r="F202" s="58"/>
      <c r="G202" s="58"/>
      <c r="H202" s="58"/>
      <c r="I202" s="58"/>
      <c r="J202" s="58" t="str">
        <f t="shared" si="35"/>
        <v/>
      </c>
      <c r="K202" s="58" t="str">
        <f t="shared" si="36"/>
        <v/>
      </c>
      <c r="L202" s="59" t="str">
        <f>IF(C202="","",DATEDIF(C202,'Premium Table'!$B$6,"Y"))</f>
        <v/>
      </c>
      <c r="M202" s="59" t="str">
        <f t="shared" si="40"/>
        <v/>
      </c>
      <c r="N202" s="59" t="str">
        <f t="shared" si="37"/>
        <v/>
      </c>
      <c r="O202" s="102" t="str">
        <f t="shared" si="41"/>
        <v/>
      </c>
      <c r="P202" s="102" t="str">
        <f t="shared" si="42"/>
        <v/>
      </c>
      <c r="Q202" s="68">
        <f t="shared" si="43"/>
        <v>0</v>
      </c>
      <c r="R202" s="102" t="str">
        <f t="shared" si="38"/>
        <v/>
      </c>
    </row>
    <row r="203" spans="1:18">
      <c r="A203" s="58" t="str">
        <f t="shared" si="39"/>
        <v/>
      </c>
      <c r="B203" s="58"/>
      <c r="C203" s="57"/>
      <c r="D203" s="58"/>
      <c r="E203" s="58"/>
      <c r="F203" s="58"/>
      <c r="G203" s="58"/>
      <c r="H203" s="58"/>
      <c r="I203" s="58"/>
      <c r="J203" s="58" t="str">
        <f t="shared" si="35"/>
        <v/>
      </c>
      <c r="K203" s="58" t="str">
        <f t="shared" si="36"/>
        <v/>
      </c>
      <c r="L203" s="59" t="str">
        <f>IF(C203="","",DATEDIF(C203,'Premium Table'!$B$6,"Y"))</f>
        <v/>
      </c>
      <c r="M203" s="59" t="str">
        <f t="shared" si="40"/>
        <v/>
      </c>
      <c r="N203" s="59" t="str">
        <f t="shared" si="37"/>
        <v/>
      </c>
      <c r="O203" s="102" t="str">
        <f t="shared" si="41"/>
        <v/>
      </c>
      <c r="P203" s="102" t="str">
        <f t="shared" si="42"/>
        <v/>
      </c>
      <c r="Q203" s="68">
        <f t="shared" si="43"/>
        <v>0</v>
      </c>
      <c r="R203" s="102" t="str">
        <f t="shared" si="38"/>
        <v/>
      </c>
    </row>
    <row r="204" spans="1:18">
      <c r="A204" s="58" t="str">
        <f t="shared" si="39"/>
        <v/>
      </c>
      <c r="B204" s="58"/>
      <c r="C204" s="57"/>
      <c r="D204" s="58"/>
      <c r="E204" s="58"/>
      <c r="F204" s="58"/>
      <c r="G204" s="58"/>
      <c r="H204" s="58"/>
      <c r="I204" s="58"/>
      <c r="J204" s="58" t="str">
        <f t="shared" si="35"/>
        <v/>
      </c>
      <c r="K204" s="58" t="str">
        <f t="shared" si="36"/>
        <v/>
      </c>
      <c r="L204" s="59" t="str">
        <f>IF(C204="","",DATEDIF(C204,'Premium Table'!$B$6,"Y"))</f>
        <v/>
      </c>
      <c r="M204" s="59" t="str">
        <f t="shared" si="40"/>
        <v/>
      </c>
      <c r="N204" s="59" t="str">
        <f t="shared" si="37"/>
        <v/>
      </c>
      <c r="O204" s="102" t="str">
        <f t="shared" si="41"/>
        <v/>
      </c>
      <c r="P204" s="102" t="str">
        <f t="shared" si="42"/>
        <v/>
      </c>
      <c r="Q204" s="68">
        <f t="shared" si="43"/>
        <v>0</v>
      </c>
      <c r="R204" s="102" t="str">
        <f t="shared" si="38"/>
        <v/>
      </c>
    </row>
    <row r="205" spans="1:18">
      <c r="A205" s="58" t="str">
        <f t="shared" si="39"/>
        <v/>
      </c>
      <c r="B205" s="58"/>
      <c r="C205" s="57"/>
      <c r="D205" s="58"/>
      <c r="E205" s="58"/>
      <c r="F205" s="58"/>
      <c r="G205" s="58"/>
      <c r="H205" s="58"/>
      <c r="I205" s="58"/>
      <c r="J205" s="58" t="str">
        <f t="shared" si="35"/>
        <v/>
      </c>
      <c r="K205" s="58" t="str">
        <f t="shared" si="36"/>
        <v/>
      </c>
      <c r="L205" s="59" t="str">
        <f>IF(C205="","",DATEDIF(C205,'Premium Table'!$B$6,"Y"))</f>
        <v/>
      </c>
      <c r="M205" s="59" t="str">
        <f t="shared" si="40"/>
        <v/>
      </c>
      <c r="N205" s="59" t="str">
        <f t="shared" si="37"/>
        <v/>
      </c>
      <c r="O205" s="102" t="str">
        <f t="shared" si="41"/>
        <v/>
      </c>
      <c r="P205" s="102" t="str">
        <f t="shared" si="42"/>
        <v/>
      </c>
      <c r="Q205" s="68">
        <f t="shared" si="43"/>
        <v>0</v>
      </c>
      <c r="R205" s="102" t="str">
        <f t="shared" si="38"/>
        <v/>
      </c>
    </row>
    <row r="206" spans="1:18">
      <c r="A206" s="58" t="str">
        <f t="shared" si="39"/>
        <v/>
      </c>
      <c r="B206" s="58"/>
      <c r="C206" s="57"/>
      <c r="D206" s="58"/>
      <c r="E206" s="58"/>
      <c r="F206" s="58"/>
      <c r="G206" s="58"/>
      <c r="H206" s="58"/>
      <c r="I206" s="58"/>
      <c r="J206" s="58" t="str">
        <f t="shared" si="35"/>
        <v/>
      </c>
      <c r="K206" s="58" t="str">
        <f t="shared" si="36"/>
        <v/>
      </c>
      <c r="L206" s="59" t="str">
        <f>IF(C206="","",DATEDIF(C206,'Premium Table'!$B$6,"Y"))</f>
        <v/>
      </c>
      <c r="M206" s="59" t="str">
        <f t="shared" si="40"/>
        <v/>
      </c>
      <c r="N206" s="59" t="str">
        <f t="shared" si="37"/>
        <v/>
      </c>
      <c r="O206" s="102" t="str">
        <f t="shared" si="41"/>
        <v/>
      </c>
      <c r="P206" s="102" t="str">
        <f t="shared" si="42"/>
        <v/>
      </c>
      <c r="Q206" s="68">
        <f t="shared" si="43"/>
        <v>0</v>
      </c>
      <c r="R206" s="102" t="str">
        <f t="shared" si="38"/>
        <v/>
      </c>
    </row>
    <row r="207" spans="1:18">
      <c r="A207" s="58" t="str">
        <f t="shared" si="39"/>
        <v/>
      </c>
      <c r="B207" s="58"/>
      <c r="C207" s="57"/>
      <c r="D207" s="58"/>
      <c r="E207" s="58"/>
      <c r="F207" s="58"/>
      <c r="G207" s="58"/>
      <c r="H207" s="58"/>
      <c r="I207" s="58"/>
      <c r="J207" s="58" t="str">
        <f t="shared" si="35"/>
        <v/>
      </c>
      <c r="K207" s="58" t="str">
        <f t="shared" si="36"/>
        <v/>
      </c>
      <c r="L207" s="59" t="str">
        <f>IF(C207="","",DATEDIF(C207,'Premium Table'!$B$6,"Y"))</f>
        <v/>
      </c>
      <c r="M207" s="59" t="str">
        <f t="shared" si="40"/>
        <v/>
      </c>
      <c r="N207" s="59" t="str">
        <f t="shared" si="37"/>
        <v/>
      </c>
      <c r="O207" s="102" t="str">
        <f t="shared" si="41"/>
        <v/>
      </c>
      <c r="P207" s="102" t="str">
        <f t="shared" si="42"/>
        <v/>
      </c>
      <c r="Q207" s="68">
        <f t="shared" si="43"/>
        <v>0</v>
      </c>
      <c r="R207" s="102" t="str">
        <f t="shared" si="38"/>
        <v/>
      </c>
    </row>
    <row r="208" spans="1:18">
      <c r="A208" s="58" t="str">
        <f t="shared" si="39"/>
        <v/>
      </c>
      <c r="B208" s="58"/>
      <c r="C208" s="57"/>
      <c r="D208" s="58"/>
      <c r="E208" s="58"/>
      <c r="F208" s="58"/>
      <c r="G208" s="58"/>
      <c r="H208" s="58"/>
      <c r="I208" s="58"/>
      <c r="J208" s="58" t="str">
        <f t="shared" si="35"/>
        <v/>
      </c>
      <c r="K208" s="58" t="str">
        <f t="shared" si="36"/>
        <v/>
      </c>
      <c r="L208" s="59" t="str">
        <f>IF(C208="","",DATEDIF(C208,'Premium Table'!$B$6,"Y"))</f>
        <v/>
      </c>
      <c r="M208" s="59" t="str">
        <f t="shared" si="40"/>
        <v/>
      </c>
      <c r="N208" s="59" t="str">
        <f t="shared" si="37"/>
        <v/>
      </c>
      <c r="O208" s="102" t="str">
        <f t="shared" si="41"/>
        <v/>
      </c>
      <c r="P208" s="102" t="str">
        <f t="shared" si="42"/>
        <v/>
      </c>
      <c r="Q208" s="68">
        <f t="shared" si="43"/>
        <v>0</v>
      </c>
      <c r="R208" s="102" t="str">
        <f t="shared" si="38"/>
        <v/>
      </c>
    </row>
    <row r="209" spans="1:18">
      <c r="A209" s="58" t="str">
        <f t="shared" si="39"/>
        <v/>
      </c>
      <c r="B209" s="58"/>
      <c r="C209" s="57"/>
      <c r="D209" s="58"/>
      <c r="E209" s="58"/>
      <c r="F209" s="58"/>
      <c r="G209" s="58"/>
      <c r="H209" s="58"/>
      <c r="I209" s="58"/>
      <c r="J209" s="58" t="str">
        <f t="shared" si="35"/>
        <v/>
      </c>
      <c r="K209" s="58" t="str">
        <f t="shared" si="36"/>
        <v/>
      </c>
      <c r="L209" s="59" t="str">
        <f>IF(C209="","",DATEDIF(C209,'Premium Table'!$B$6,"Y"))</f>
        <v/>
      </c>
      <c r="M209" s="59" t="str">
        <f t="shared" si="40"/>
        <v/>
      </c>
      <c r="N209" s="59" t="str">
        <f t="shared" si="37"/>
        <v/>
      </c>
      <c r="O209" s="102" t="str">
        <f t="shared" si="41"/>
        <v/>
      </c>
      <c r="P209" s="102" t="str">
        <f t="shared" si="42"/>
        <v/>
      </c>
      <c r="Q209" s="68">
        <f t="shared" si="43"/>
        <v>0</v>
      </c>
      <c r="R209" s="102" t="str">
        <f t="shared" si="38"/>
        <v/>
      </c>
    </row>
    <row r="210" spans="1:18">
      <c r="A210" s="58" t="str">
        <f t="shared" si="39"/>
        <v/>
      </c>
      <c r="B210" s="58"/>
      <c r="C210" s="57"/>
      <c r="D210" s="58"/>
      <c r="E210" s="58"/>
      <c r="F210" s="58"/>
      <c r="G210" s="58"/>
      <c r="H210" s="58"/>
      <c r="I210" s="58"/>
      <c r="J210" s="58" t="str">
        <f t="shared" si="35"/>
        <v/>
      </c>
      <c r="K210" s="58" t="str">
        <f t="shared" si="36"/>
        <v/>
      </c>
      <c r="L210" s="59" t="str">
        <f>IF(C210="","",DATEDIF(C210,'Premium Table'!$B$6,"Y"))</f>
        <v/>
      </c>
      <c r="M210" s="59" t="str">
        <f t="shared" si="40"/>
        <v/>
      </c>
      <c r="N210" s="59" t="str">
        <f t="shared" si="37"/>
        <v/>
      </c>
      <c r="O210" s="102" t="str">
        <f t="shared" si="41"/>
        <v/>
      </c>
      <c r="P210" s="102" t="str">
        <f t="shared" si="42"/>
        <v/>
      </c>
      <c r="Q210" s="68">
        <f t="shared" si="43"/>
        <v>0</v>
      </c>
      <c r="R210" s="102" t="str">
        <f t="shared" si="38"/>
        <v/>
      </c>
    </row>
    <row r="211" spans="1:18">
      <c r="A211" s="58" t="str">
        <f t="shared" si="39"/>
        <v/>
      </c>
      <c r="B211" s="58"/>
      <c r="C211" s="57"/>
      <c r="D211" s="58"/>
      <c r="E211" s="58"/>
      <c r="F211" s="58"/>
      <c r="G211" s="58"/>
      <c r="H211" s="58"/>
      <c r="I211" s="58"/>
      <c r="J211" s="58" t="str">
        <f t="shared" si="35"/>
        <v/>
      </c>
      <c r="K211" s="58" t="str">
        <f t="shared" si="36"/>
        <v/>
      </c>
      <c r="L211" s="59" t="str">
        <f>IF(C211="","",DATEDIF(C211,'Premium Table'!$B$6,"Y"))</f>
        <v/>
      </c>
      <c r="M211" s="59" t="str">
        <f t="shared" si="40"/>
        <v/>
      </c>
      <c r="N211" s="59" t="str">
        <f t="shared" si="37"/>
        <v/>
      </c>
      <c r="O211" s="102" t="str">
        <f t="shared" si="41"/>
        <v/>
      </c>
      <c r="P211" s="102" t="str">
        <f t="shared" si="42"/>
        <v/>
      </c>
      <c r="Q211" s="68">
        <f t="shared" si="43"/>
        <v>0</v>
      </c>
      <c r="R211" s="102" t="str">
        <f t="shared" si="38"/>
        <v/>
      </c>
    </row>
    <row r="212" spans="1:18">
      <c r="A212" s="58" t="str">
        <f t="shared" si="39"/>
        <v/>
      </c>
      <c r="B212" s="58"/>
      <c r="C212" s="57"/>
      <c r="D212" s="58"/>
      <c r="E212" s="58"/>
      <c r="F212" s="58"/>
      <c r="G212" s="58"/>
      <c r="H212" s="58"/>
      <c r="I212" s="58"/>
      <c r="J212" s="58" t="str">
        <f t="shared" si="35"/>
        <v/>
      </c>
      <c r="K212" s="58" t="str">
        <f t="shared" si="36"/>
        <v/>
      </c>
      <c r="L212" s="59" t="str">
        <f>IF(C212="","",DATEDIF(C212,'Premium Table'!$B$6,"Y"))</f>
        <v/>
      </c>
      <c r="M212" s="59" t="str">
        <f t="shared" si="40"/>
        <v/>
      </c>
      <c r="N212" s="59" t="str">
        <f t="shared" si="37"/>
        <v/>
      </c>
      <c r="O212" s="102" t="str">
        <f t="shared" si="41"/>
        <v/>
      </c>
      <c r="P212" s="102" t="str">
        <f t="shared" si="42"/>
        <v/>
      </c>
      <c r="Q212" s="68">
        <f t="shared" si="43"/>
        <v>0</v>
      </c>
      <c r="R212" s="102" t="str">
        <f t="shared" si="38"/>
        <v/>
      </c>
    </row>
    <row r="213" spans="1:18">
      <c r="A213" s="58" t="str">
        <f t="shared" si="39"/>
        <v/>
      </c>
      <c r="B213" s="58"/>
      <c r="C213" s="57"/>
      <c r="D213" s="58"/>
      <c r="E213" s="58"/>
      <c r="F213" s="58"/>
      <c r="G213" s="58"/>
      <c r="H213" s="58"/>
      <c r="I213" s="58"/>
      <c r="J213" s="58" t="str">
        <f t="shared" si="35"/>
        <v/>
      </c>
      <c r="K213" s="58" t="str">
        <f t="shared" si="36"/>
        <v/>
      </c>
      <c r="L213" s="59" t="str">
        <f>IF(C213="","",DATEDIF(C213,'Premium Table'!$B$6,"Y"))</f>
        <v/>
      </c>
      <c r="M213" s="59" t="str">
        <f t="shared" si="40"/>
        <v/>
      </c>
      <c r="N213" s="59" t="str">
        <f t="shared" si="37"/>
        <v/>
      </c>
      <c r="O213" s="102" t="str">
        <f t="shared" si="41"/>
        <v/>
      </c>
      <c r="P213" s="102" t="str">
        <f t="shared" si="42"/>
        <v/>
      </c>
      <c r="Q213" s="68">
        <f t="shared" si="43"/>
        <v>0</v>
      </c>
      <c r="R213" s="102" t="str">
        <f t="shared" si="38"/>
        <v/>
      </c>
    </row>
    <row r="214" spans="1:18">
      <c r="A214" s="58" t="str">
        <f t="shared" si="39"/>
        <v/>
      </c>
      <c r="B214" s="58"/>
      <c r="C214" s="57"/>
      <c r="D214" s="58"/>
      <c r="E214" s="58"/>
      <c r="F214" s="58"/>
      <c r="G214" s="58"/>
      <c r="H214" s="58"/>
      <c r="I214" s="58"/>
      <c r="J214" s="58" t="str">
        <f t="shared" si="35"/>
        <v/>
      </c>
      <c r="K214" s="58" t="str">
        <f t="shared" si="36"/>
        <v/>
      </c>
      <c r="L214" s="59" t="str">
        <f>IF(C214="","",DATEDIF(C214,'Premium Table'!$B$6,"Y"))</f>
        <v/>
      </c>
      <c r="M214" s="59" t="str">
        <f t="shared" si="40"/>
        <v/>
      </c>
      <c r="N214" s="59" t="str">
        <f t="shared" si="37"/>
        <v/>
      </c>
      <c r="O214" s="102" t="str">
        <f t="shared" si="41"/>
        <v/>
      </c>
      <c r="P214" s="102" t="str">
        <f t="shared" si="42"/>
        <v/>
      </c>
      <c r="Q214" s="68">
        <f t="shared" si="43"/>
        <v>0</v>
      </c>
      <c r="R214" s="102" t="str">
        <f t="shared" si="38"/>
        <v/>
      </c>
    </row>
    <row r="215" spans="1:18">
      <c r="A215" s="58" t="str">
        <f t="shared" si="39"/>
        <v/>
      </c>
      <c r="B215" s="58"/>
      <c r="C215" s="57"/>
      <c r="D215" s="58"/>
      <c r="E215" s="58"/>
      <c r="F215" s="58"/>
      <c r="G215" s="58"/>
      <c r="H215" s="58"/>
      <c r="I215" s="58"/>
      <c r="J215" s="58" t="str">
        <f t="shared" si="35"/>
        <v/>
      </c>
      <c r="K215" s="58" t="str">
        <f t="shared" si="36"/>
        <v/>
      </c>
      <c r="L215" s="59" t="str">
        <f>IF(C215="","",DATEDIF(C215,'Premium Table'!$B$6,"Y"))</f>
        <v/>
      </c>
      <c r="M215" s="59" t="str">
        <f t="shared" si="40"/>
        <v/>
      </c>
      <c r="N215" s="59" t="str">
        <f t="shared" si="37"/>
        <v/>
      </c>
      <c r="O215" s="102" t="str">
        <f t="shared" si="41"/>
        <v/>
      </c>
      <c r="P215" s="102" t="str">
        <f t="shared" si="42"/>
        <v/>
      </c>
      <c r="Q215" s="68">
        <f t="shared" si="43"/>
        <v>0</v>
      </c>
      <c r="R215" s="102" t="str">
        <f t="shared" si="38"/>
        <v/>
      </c>
    </row>
    <row r="216" spans="1:18">
      <c r="A216" s="58" t="str">
        <f t="shared" si="39"/>
        <v/>
      </c>
      <c r="B216" s="58"/>
      <c r="C216" s="57"/>
      <c r="D216" s="58"/>
      <c r="E216" s="58"/>
      <c r="F216" s="58"/>
      <c r="G216" s="58"/>
      <c r="H216" s="58"/>
      <c r="I216" s="58"/>
      <c r="J216" s="58" t="str">
        <f t="shared" si="35"/>
        <v/>
      </c>
      <c r="K216" s="58" t="str">
        <f t="shared" si="36"/>
        <v/>
      </c>
      <c r="L216" s="59" t="str">
        <f>IF(C216="","",DATEDIF(C216,'Premium Table'!$B$6,"Y"))</f>
        <v/>
      </c>
      <c r="M216" s="59" t="str">
        <f t="shared" si="40"/>
        <v/>
      </c>
      <c r="N216" s="59" t="str">
        <f t="shared" si="37"/>
        <v/>
      </c>
      <c r="O216" s="102" t="str">
        <f t="shared" si="41"/>
        <v/>
      </c>
      <c r="P216" s="102" t="str">
        <f t="shared" si="42"/>
        <v/>
      </c>
      <c r="Q216" s="68">
        <f t="shared" si="43"/>
        <v>0</v>
      </c>
      <c r="R216" s="102" t="str">
        <f t="shared" si="38"/>
        <v/>
      </c>
    </row>
    <row r="217" spans="1:18">
      <c r="A217" s="58" t="str">
        <f t="shared" si="39"/>
        <v/>
      </c>
      <c r="B217" s="58"/>
      <c r="C217" s="57"/>
      <c r="D217" s="58"/>
      <c r="E217" s="58"/>
      <c r="F217" s="58"/>
      <c r="G217" s="58"/>
      <c r="H217" s="58"/>
      <c r="I217" s="58"/>
      <c r="J217" s="58" t="str">
        <f t="shared" si="35"/>
        <v/>
      </c>
      <c r="K217" s="58" t="str">
        <f t="shared" si="36"/>
        <v/>
      </c>
      <c r="L217" s="59" t="str">
        <f>IF(C217="","",DATEDIF(C217,'Premium Table'!$B$6,"Y"))</f>
        <v/>
      </c>
      <c r="M217" s="59" t="str">
        <f t="shared" si="40"/>
        <v/>
      </c>
      <c r="N217" s="59" t="str">
        <f t="shared" si="37"/>
        <v/>
      </c>
      <c r="O217" s="102" t="str">
        <f t="shared" si="41"/>
        <v/>
      </c>
      <c r="P217" s="102" t="str">
        <f t="shared" si="42"/>
        <v/>
      </c>
      <c r="Q217" s="68">
        <f t="shared" si="43"/>
        <v>0</v>
      </c>
      <c r="R217" s="102" t="str">
        <f t="shared" si="38"/>
        <v/>
      </c>
    </row>
    <row r="218" spans="1:18">
      <c r="A218" s="58" t="str">
        <f t="shared" si="39"/>
        <v/>
      </c>
      <c r="B218" s="58"/>
      <c r="C218" s="57"/>
      <c r="D218" s="58"/>
      <c r="E218" s="58"/>
      <c r="F218" s="58"/>
      <c r="G218" s="58"/>
      <c r="H218" s="58"/>
      <c r="I218" s="58"/>
      <c r="J218" s="58" t="str">
        <f t="shared" si="35"/>
        <v/>
      </c>
      <c r="K218" s="58" t="str">
        <f t="shared" si="36"/>
        <v/>
      </c>
      <c r="L218" s="59" t="str">
        <f>IF(C218="","",DATEDIF(C218,'Premium Table'!$B$6,"Y"))</f>
        <v/>
      </c>
      <c r="M218" s="59" t="str">
        <f t="shared" si="40"/>
        <v/>
      </c>
      <c r="N218" s="59" t="str">
        <f t="shared" si="37"/>
        <v/>
      </c>
      <c r="O218" s="102" t="str">
        <f t="shared" si="41"/>
        <v/>
      </c>
      <c r="P218" s="102" t="str">
        <f t="shared" si="42"/>
        <v/>
      </c>
      <c r="Q218" s="68">
        <f t="shared" si="43"/>
        <v>0</v>
      </c>
      <c r="R218" s="102" t="str">
        <f t="shared" si="38"/>
        <v/>
      </c>
    </row>
    <row r="219" spans="1:18">
      <c r="A219" s="58" t="str">
        <f t="shared" si="39"/>
        <v/>
      </c>
      <c r="B219" s="58"/>
      <c r="C219" s="57"/>
      <c r="D219" s="58"/>
      <c r="E219" s="58"/>
      <c r="F219" s="58"/>
      <c r="G219" s="58"/>
      <c r="H219" s="58"/>
      <c r="I219" s="58"/>
      <c r="J219" s="58" t="str">
        <f t="shared" si="35"/>
        <v/>
      </c>
      <c r="K219" s="58" t="str">
        <f t="shared" si="36"/>
        <v/>
      </c>
      <c r="L219" s="59" t="str">
        <f>IF(C219="","",DATEDIF(C219,'Premium Table'!$B$6,"Y"))</f>
        <v/>
      </c>
      <c r="M219" s="59" t="str">
        <f t="shared" si="40"/>
        <v/>
      </c>
      <c r="N219" s="59" t="str">
        <f t="shared" si="37"/>
        <v/>
      </c>
      <c r="O219" s="102" t="str">
        <f t="shared" si="41"/>
        <v/>
      </c>
      <c r="P219" s="102" t="str">
        <f t="shared" si="42"/>
        <v/>
      </c>
      <c r="Q219" s="68">
        <f t="shared" si="43"/>
        <v>0</v>
      </c>
      <c r="R219" s="102" t="str">
        <f t="shared" si="38"/>
        <v/>
      </c>
    </row>
    <row r="220" spans="1:18">
      <c r="A220" s="58" t="str">
        <f t="shared" si="39"/>
        <v/>
      </c>
      <c r="B220" s="58"/>
      <c r="C220" s="57"/>
      <c r="D220" s="58"/>
      <c r="E220" s="58"/>
      <c r="F220" s="58"/>
      <c r="G220" s="58"/>
      <c r="H220" s="58"/>
      <c r="I220" s="58"/>
      <c r="J220" s="58" t="str">
        <f t="shared" si="35"/>
        <v/>
      </c>
      <c r="K220" s="58" t="str">
        <f t="shared" si="36"/>
        <v/>
      </c>
      <c r="L220" s="59" t="str">
        <f>IF(C220="","",DATEDIF(C220,'Premium Table'!$B$6,"Y"))</f>
        <v/>
      </c>
      <c r="M220" s="59" t="str">
        <f t="shared" si="40"/>
        <v/>
      </c>
      <c r="N220" s="59" t="str">
        <f t="shared" si="37"/>
        <v/>
      </c>
      <c r="O220" s="102" t="str">
        <f t="shared" si="41"/>
        <v/>
      </c>
      <c r="P220" s="102" t="str">
        <f t="shared" si="42"/>
        <v/>
      </c>
      <c r="Q220" s="68">
        <f t="shared" si="43"/>
        <v>0</v>
      </c>
      <c r="R220" s="102" t="str">
        <f t="shared" si="38"/>
        <v/>
      </c>
    </row>
    <row r="221" spans="1:18">
      <c r="A221" s="58" t="str">
        <f t="shared" si="39"/>
        <v/>
      </c>
      <c r="B221" s="58"/>
      <c r="C221" s="57"/>
      <c r="D221" s="58"/>
      <c r="E221" s="58"/>
      <c r="F221" s="58"/>
      <c r="G221" s="58"/>
      <c r="H221" s="58"/>
      <c r="I221" s="58"/>
      <c r="J221" s="58" t="str">
        <f t="shared" si="35"/>
        <v/>
      </c>
      <c r="K221" s="58" t="str">
        <f t="shared" si="36"/>
        <v/>
      </c>
      <c r="L221" s="59" t="str">
        <f>IF(C221="","",DATEDIF(C221,'Premium Table'!$B$6,"Y"))</f>
        <v/>
      </c>
      <c r="M221" s="59" t="str">
        <f t="shared" si="40"/>
        <v/>
      </c>
      <c r="N221" s="59" t="str">
        <f t="shared" si="37"/>
        <v/>
      </c>
      <c r="O221" s="102" t="str">
        <f t="shared" si="41"/>
        <v/>
      </c>
      <c r="P221" s="102" t="str">
        <f t="shared" si="42"/>
        <v/>
      </c>
      <c r="Q221" s="68">
        <f t="shared" si="43"/>
        <v>0</v>
      </c>
      <c r="R221" s="102" t="str">
        <f t="shared" si="38"/>
        <v/>
      </c>
    </row>
    <row r="222" spans="1:18">
      <c r="A222" s="58" t="str">
        <f t="shared" si="39"/>
        <v/>
      </c>
      <c r="B222" s="58"/>
      <c r="C222" s="57"/>
      <c r="D222" s="58"/>
      <c r="E222" s="58"/>
      <c r="F222" s="58"/>
      <c r="G222" s="58"/>
      <c r="H222" s="58"/>
      <c r="I222" s="58"/>
      <c r="J222" s="58" t="str">
        <f t="shared" si="35"/>
        <v/>
      </c>
      <c r="K222" s="58" t="str">
        <f t="shared" si="36"/>
        <v/>
      </c>
      <c r="L222" s="59" t="str">
        <f>IF(C222="","",DATEDIF(C222,'Premium Table'!$B$6,"Y"))</f>
        <v/>
      </c>
      <c r="M222" s="59" t="str">
        <f t="shared" si="40"/>
        <v/>
      </c>
      <c r="N222" s="59" t="str">
        <f t="shared" si="37"/>
        <v/>
      </c>
      <c r="O222" s="102" t="str">
        <f t="shared" si="41"/>
        <v/>
      </c>
      <c r="P222" s="102" t="str">
        <f t="shared" si="42"/>
        <v/>
      </c>
      <c r="Q222" s="68">
        <f t="shared" si="43"/>
        <v>0</v>
      </c>
      <c r="R222" s="102" t="str">
        <f t="shared" si="38"/>
        <v/>
      </c>
    </row>
    <row r="223" spans="1:18">
      <c r="A223" s="58" t="str">
        <f t="shared" si="39"/>
        <v/>
      </c>
      <c r="B223" s="58"/>
      <c r="C223" s="57"/>
      <c r="D223" s="58"/>
      <c r="E223" s="58"/>
      <c r="F223" s="58"/>
      <c r="G223" s="58"/>
      <c r="H223" s="58"/>
      <c r="I223" s="58"/>
      <c r="J223" s="58" t="str">
        <f t="shared" si="35"/>
        <v/>
      </c>
      <c r="K223" s="58" t="str">
        <f t="shared" si="36"/>
        <v/>
      </c>
      <c r="L223" s="59" t="str">
        <f>IF(C223="","",DATEDIF(C223,'Premium Table'!$B$6,"Y"))</f>
        <v/>
      </c>
      <c r="M223" s="59" t="str">
        <f t="shared" si="40"/>
        <v/>
      </c>
      <c r="N223" s="59" t="str">
        <f t="shared" si="37"/>
        <v/>
      </c>
      <c r="O223" s="102" t="str">
        <f t="shared" si="41"/>
        <v/>
      </c>
      <c r="P223" s="102" t="str">
        <f t="shared" si="42"/>
        <v/>
      </c>
      <c r="Q223" s="68">
        <f t="shared" si="43"/>
        <v>0</v>
      </c>
      <c r="R223" s="102" t="str">
        <f t="shared" si="38"/>
        <v/>
      </c>
    </row>
    <row r="224" spans="1:18">
      <c r="A224" s="58" t="str">
        <f t="shared" si="39"/>
        <v/>
      </c>
      <c r="B224" s="58"/>
      <c r="C224" s="57"/>
      <c r="D224" s="58"/>
      <c r="E224" s="58"/>
      <c r="F224" s="58"/>
      <c r="G224" s="58"/>
      <c r="H224" s="58"/>
      <c r="I224" s="58"/>
      <c r="J224" s="58" t="str">
        <f t="shared" si="35"/>
        <v/>
      </c>
      <c r="K224" s="58" t="str">
        <f t="shared" si="36"/>
        <v/>
      </c>
      <c r="L224" s="59" t="str">
        <f>IF(C224="","",DATEDIF(C224,'Premium Table'!$B$6,"Y"))</f>
        <v/>
      </c>
      <c r="M224" s="59" t="str">
        <f t="shared" si="40"/>
        <v/>
      </c>
      <c r="N224" s="59" t="str">
        <f t="shared" si="37"/>
        <v/>
      </c>
      <c r="O224" s="102" t="str">
        <f t="shared" si="41"/>
        <v/>
      </c>
      <c r="P224" s="102" t="str">
        <f t="shared" si="42"/>
        <v/>
      </c>
      <c r="Q224" s="68">
        <f t="shared" si="43"/>
        <v>0</v>
      </c>
      <c r="R224" s="102" t="str">
        <f t="shared" si="38"/>
        <v/>
      </c>
    </row>
    <row r="225" spans="1:18">
      <c r="A225" s="58" t="str">
        <f t="shared" si="39"/>
        <v/>
      </c>
      <c r="B225" s="58"/>
      <c r="C225" s="57"/>
      <c r="D225" s="58"/>
      <c r="E225" s="58"/>
      <c r="F225" s="58"/>
      <c r="G225" s="58"/>
      <c r="H225" s="58"/>
      <c r="I225" s="58"/>
      <c r="J225" s="58" t="str">
        <f t="shared" si="35"/>
        <v/>
      </c>
      <c r="K225" s="58" t="str">
        <f t="shared" si="36"/>
        <v/>
      </c>
      <c r="L225" s="59" t="str">
        <f>IF(C225="","",DATEDIF(C225,'Premium Table'!$B$6,"Y"))</f>
        <v/>
      </c>
      <c r="M225" s="59" t="str">
        <f t="shared" si="40"/>
        <v/>
      </c>
      <c r="N225" s="59" t="str">
        <f t="shared" si="37"/>
        <v/>
      </c>
      <c r="O225" s="102" t="str">
        <f t="shared" si="41"/>
        <v/>
      </c>
      <c r="P225" s="102" t="str">
        <f t="shared" si="42"/>
        <v/>
      </c>
      <c r="Q225" s="68">
        <f t="shared" si="43"/>
        <v>0</v>
      </c>
      <c r="R225" s="102" t="str">
        <f t="shared" si="38"/>
        <v/>
      </c>
    </row>
    <row r="226" spans="1:18">
      <c r="A226" s="58" t="str">
        <f t="shared" si="39"/>
        <v/>
      </c>
      <c r="B226" s="58"/>
      <c r="C226" s="57"/>
      <c r="D226" s="58"/>
      <c r="E226" s="58"/>
      <c r="F226" s="58"/>
      <c r="G226" s="58"/>
      <c r="H226" s="58"/>
      <c r="I226" s="58"/>
      <c r="J226" s="58" t="str">
        <f t="shared" si="35"/>
        <v/>
      </c>
      <c r="K226" s="58" t="str">
        <f t="shared" si="36"/>
        <v/>
      </c>
      <c r="L226" s="59" t="str">
        <f>IF(C226="","",DATEDIF(C226,'Premium Table'!$B$6,"Y"))</f>
        <v/>
      </c>
      <c r="M226" s="59" t="str">
        <f t="shared" si="40"/>
        <v/>
      </c>
      <c r="N226" s="59" t="str">
        <f t="shared" si="37"/>
        <v/>
      </c>
      <c r="O226" s="102" t="str">
        <f t="shared" si="41"/>
        <v/>
      </c>
      <c r="P226" s="102" t="str">
        <f t="shared" si="42"/>
        <v/>
      </c>
      <c r="Q226" s="68">
        <f t="shared" si="43"/>
        <v>0</v>
      </c>
      <c r="R226" s="102" t="str">
        <f t="shared" si="38"/>
        <v/>
      </c>
    </row>
    <row r="227" spans="1:18">
      <c r="A227" s="58" t="str">
        <f t="shared" si="39"/>
        <v/>
      </c>
      <c r="B227" s="58"/>
      <c r="C227" s="57"/>
      <c r="D227" s="58"/>
      <c r="E227" s="58"/>
      <c r="F227" s="58"/>
      <c r="G227" s="58"/>
      <c r="H227" s="58"/>
      <c r="I227" s="58"/>
      <c r="J227" s="58" t="str">
        <f t="shared" si="35"/>
        <v/>
      </c>
      <c r="K227" s="58" t="str">
        <f t="shared" si="36"/>
        <v/>
      </c>
      <c r="L227" s="59" t="str">
        <f>IF(C227="","",DATEDIF(C227,'Premium Table'!$B$6,"Y"))</f>
        <v/>
      </c>
      <c r="M227" s="59" t="str">
        <f t="shared" si="40"/>
        <v/>
      </c>
      <c r="N227" s="59" t="str">
        <f t="shared" si="37"/>
        <v/>
      </c>
      <c r="O227" s="102" t="str">
        <f t="shared" si="41"/>
        <v/>
      </c>
      <c r="P227" s="102" t="str">
        <f t="shared" si="42"/>
        <v/>
      </c>
      <c r="Q227" s="68">
        <f t="shared" si="43"/>
        <v>0</v>
      </c>
      <c r="R227" s="102" t="str">
        <f t="shared" si="38"/>
        <v/>
      </c>
    </row>
    <row r="228" spans="1:18">
      <c r="A228" s="58" t="str">
        <f t="shared" si="39"/>
        <v/>
      </c>
      <c r="B228" s="58"/>
      <c r="C228" s="57"/>
      <c r="D228" s="58"/>
      <c r="E228" s="58"/>
      <c r="F228" s="58"/>
      <c r="G228" s="58"/>
      <c r="H228" s="58"/>
      <c r="I228" s="58"/>
      <c r="J228" s="58" t="str">
        <f t="shared" si="35"/>
        <v/>
      </c>
      <c r="K228" s="58" t="str">
        <f t="shared" si="36"/>
        <v/>
      </c>
      <c r="L228" s="59" t="str">
        <f>IF(C228="","",DATEDIF(C228,'Premium Table'!$B$6,"Y"))</f>
        <v/>
      </c>
      <c r="M228" s="59" t="str">
        <f t="shared" si="40"/>
        <v/>
      </c>
      <c r="N228" s="59" t="str">
        <f t="shared" si="37"/>
        <v/>
      </c>
      <c r="O228" s="102" t="str">
        <f t="shared" si="41"/>
        <v/>
      </c>
      <c r="P228" s="102" t="str">
        <f t="shared" si="42"/>
        <v/>
      </c>
      <c r="Q228" s="68">
        <f t="shared" si="43"/>
        <v>0</v>
      </c>
      <c r="R228" s="102" t="str">
        <f t="shared" si="38"/>
        <v/>
      </c>
    </row>
    <row r="229" spans="1:18">
      <c r="A229" s="58" t="str">
        <f t="shared" si="39"/>
        <v/>
      </c>
      <c r="B229" s="58"/>
      <c r="C229" s="57"/>
      <c r="D229" s="58"/>
      <c r="E229" s="58"/>
      <c r="F229" s="58"/>
      <c r="G229" s="58"/>
      <c r="H229" s="58"/>
      <c r="I229" s="58"/>
      <c r="J229" s="58" t="str">
        <f t="shared" si="35"/>
        <v/>
      </c>
      <c r="K229" s="58" t="str">
        <f t="shared" si="36"/>
        <v/>
      </c>
      <c r="L229" s="59" t="str">
        <f>IF(C229="","",DATEDIF(C229,'Premium Table'!$B$6,"Y"))</f>
        <v/>
      </c>
      <c r="M229" s="59" t="str">
        <f t="shared" si="40"/>
        <v/>
      </c>
      <c r="N229" s="59" t="str">
        <f t="shared" si="37"/>
        <v/>
      </c>
      <c r="O229" s="102" t="str">
        <f t="shared" si="41"/>
        <v/>
      </c>
      <c r="P229" s="102" t="str">
        <f t="shared" si="42"/>
        <v/>
      </c>
      <c r="Q229" s="68">
        <f t="shared" si="43"/>
        <v>0</v>
      </c>
      <c r="R229" s="102" t="str">
        <f t="shared" si="38"/>
        <v/>
      </c>
    </row>
    <row r="230" spans="1:18">
      <c r="A230" s="58" t="str">
        <f t="shared" si="39"/>
        <v/>
      </c>
      <c r="B230" s="58"/>
      <c r="C230" s="57"/>
      <c r="D230" s="58"/>
      <c r="E230" s="58"/>
      <c r="F230" s="58"/>
      <c r="G230" s="58"/>
      <c r="H230" s="58"/>
      <c r="I230" s="58"/>
      <c r="J230" s="58" t="str">
        <f t="shared" si="35"/>
        <v/>
      </c>
      <c r="K230" s="58" t="str">
        <f t="shared" si="36"/>
        <v/>
      </c>
      <c r="L230" s="59" t="str">
        <f>IF(C230="","",DATEDIF(C230,'Premium Table'!$B$6,"Y"))</f>
        <v/>
      </c>
      <c r="M230" s="59" t="str">
        <f t="shared" si="40"/>
        <v/>
      </c>
      <c r="N230" s="59" t="str">
        <f t="shared" si="37"/>
        <v/>
      </c>
      <c r="O230" s="102" t="str">
        <f t="shared" si="41"/>
        <v/>
      </c>
      <c r="P230" s="102" t="str">
        <f t="shared" si="42"/>
        <v/>
      </c>
      <c r="Q230" s="68">
        <f t="shared" si="43"/>
        <v>0</v>
      </c>
      <c r="R230" s="102" t="str">
        <f t="shared" si="38"/>
        <v/>
      </c>
    </row>
    <row r="231" spans="1:18">
      <c r="A231" s="58" t="str">
        <f t="shared" si="39"/>
        <v/>
      </c>
      <c r="B231" s="58"/>
      <c r="C231" s="57"/>
      <c r="D231" s="58"/>
      <c r="E231" s="58"/>
      <c r="F231" s="58"/>
      <c r="G231" s="58"/>
      <c r="H231" s="58"/>
      <c r="I231" s="58"/>
      <c r="J231" s="58" t="str">
        <f t="shared" si="35"/>
        <v/>
      </c>
      <c r="K231" s="58" t="str">
        <f t="shared" si="36"/>
        <v/>
      </c>
      <c r="L231" s="59" t="str">
        <f>IF(C231="","",DATEDIF(C231,'Premium Table'!$B$6,"Y"))</f>
        <v/>
      </c>
      <c r="M231" s="59" t="str">
        <f t="shared" si="40"/>
        <v/>
      </c>
      <c r="N231" s="59" t="str">
        <f t="shared" si="37"/>
        <v/>
      </c>
      <c r="O231" s="102" t="str">
        <f t="shared" si="41"/>
        <v/>
      </c>
      <c r="P231" s="102" t="str">
        <f t="shared" si="42"/>
        <v/>
      </c>
      <c r="Q231" s="68">
        <f t="shared" si="43"/>
        <v>0</v>
      </c>
      <c r="R231" s="102" t="str">
        <f t="shared" si="38"/>
        <v/>
      </c>
    </row>
    <row r="232" spans="1:18">
      <c r="A232" s="58" t="str">
        <f t="shared" si="39"/>
        <v/>
      </c>
      <c r="B232" s="58"/>
      <c r="C232" s="57"/>
      <c r="D232" s="58"/>
      <c r="E232" s="58"/>
      <c r="F232" s="58"/>
      <c r="G232" s="58"/>
      <c r="H232" s="58"/>
      <c r="I232" s="58"/>
      <c r="J232" s="58" t="str">
        <f t="shared" si="35"/>
        <v/>
      </c>
      <c r="K232" s="58" t="str">
        <f t="shared" si="36"/>
        <v/>
      </c>
      <c r="L232" s="59" t="str">
        <f>IF(C232="","",DATEDIF(C232,'Premium Table'!$B$6,"Y"))</f>
        <v/>
      </c>
      <c r="M232" s="59" t="str">
        <f t="shared" si="40"/>
        <v/>
      </c>
      <c r="N232" s="59" t="str">
        <f t="shared" si="37"/>
        <v/>
      </c>
      <c r="O232" s="102" t="str">
        <f t="shared" si="41"/>
        <v/>
      </c>
      <c r="P232" s="102" t="str">
        <f t="shared" si="42"/>
        <v/>
      </c>
      <c r="Q232" s="68">
        <f t="shared" si="43"/>
        <v>0</v>
      </c>
      <c r="R232" s="102" t="str">
        <f t="shared" si="38"/>
        <v/>
      </c>
    </row>
    <row r="233" spans="1:18">
      <c r="A233" s="58" t="str">
        <f t="shared" si="39"/>
        <v/>
      </c>
      <c r="B233" s="58"/>
      <c r="C233" s="57"/>
      <c r="D233" s="58"/>
      <c r="E233" s="58"/>
      <c r="F233" s="58"/>
      <c r="G233" s="58"/>
      <c r="H233" s="58"/>
      <c r="I233" s="58"/>
      <c r="J233" s="58" t="str">
        <f t="shared" si="35"/>
        <v/>
      </c>
      <c r="K233" s="58" t="str">
        <f t="shared" si="36"/>
        <v/>
      </c>
      <c r="L233" s="59" t="str">
        <f>IF(C233="","",DATEDIF(C233,'Premium Table'!$B$6,"Y"))</f>
        <v/>
      </c>
      <c r="M233" s="59" t="str">
        <f t="shared" si="40"/>
        <v/>
      </c>
      <c r="N233" s="59" t="str">
        <f t="shared" si="37"/>
        <v/>
      </c>
      <c r="O233" s="102" t="str">
        <f t="shared" si="41"/>
        <v/>
      </c>
      <c r="P233" s="102" t="str">
        <f t="shared" si="42"/>
        <v/>
      </c>
      <c r="Q233" s="68">
        <f t="shared" si="43"/>
        <v>0</v>
      </c>
      <c r="R233" s="102" t="str">
        <f t="shared" si="38"/>
        <v/>
      </c>
    </row>
    <row r="234" spans="1:18">
      <c r="A234" s="58" t="str">
        <f t="shared" si="39"/>
        <v/>
      </c>
      <c r="B234" s="58"/>
      <c r="C234" s="57"/>
      <c r="D234" s="58"/>
      <c r="E234" s="58"/>
      <c r="F234" s="58"/>
      <c r="G234" s="58"/>
      <c r="H234" s="58"/>
      <c r="I234" s="58"/>
      <c r="J234" s="58" t="str">
        <f t="shared" si="35"/>
        <v/>
      </c>
      <c r="K234" s="58" t="str">
        <f t="shared" si="36"/>
        <v/>
      </c>
      <c r="L234" s="59" t="str">
        <f>IF(C234="","",DATEDIF(C234,'Premium Table'!$B$6,"Y"))</f>
        <v/>
      </c>
      <c r="M234" s="59" t="str">
        <f t="shared" si="40"/>
        <v/>
      </c>
      <c r="N234" s="59" t="str">
        <f t="shared" si="37"/>
        <v/>
      </c>
      <c r="O234" s="102" t="str">
        <f t="shared" si="41"/>
        <v/>
      </c>
      <c r="P234" s="102" t="str">
        <f t="shared" si="42"/>
        <v/>
      </c>
      <c r="Q234" s="68">
        <f t="shared" si="43"/>
        <v>0</v>
      </c>
      <c r="R234" s="102" t="str">
        <f t="shared" si="38"/>
        <v/>
      </c>
    </row>
    <row r="235" spans="1:18">
      <c r="A235" s="58" t="str">
        <f t="shared" si="39"/>
        <v/>
      </c>
      <c r="B235" s="58"/>
      <c r="C235" s="57"/>
      <c r="D235" s="58"/>
      <c r="E235" s="58"/>
      <c r="F235" s="58"/>
      <c r="G235" s="58"/>
      <c r="H235" s="58"/>
      <c r="I235" s="58"/>
      <c r="J235" s="58" t="str">
        <f t="shared" si="35"/>
        <v/>
      </c>
      <c r="K235" s="58" t="str">
        <f t="shared" si="36"/>
        <v/>
      </c>
      <c r="L235" s="59" t="str">
        <f>IF(C235="","",DATEDIF(C235,'Premium Table'!$B$6,"Y"))</f>
        <v/>
      </c>
      <c r="M235" s="59" t="str">
        <f t="shared" si="40"/>
        <v/>
      </c>
      <c r="N235" s="59" t="str">
        <f t="shared" si="37"/>
        <v/>
      </c>
      <c r="O235" s="102" t="str">
        <f t="shared" si="41"/>
        <v/>
      </c>
      <c r="P235" s="102" t="str">
        <f t="shared" si="42"/>
        <v/>
      </c>
      <c r="Q235" s="68">
        <f t="shared" si="43"/>
        <v>0</v>
      </c>
      <c r="R235" s="102" t="str">
        <f t="shared" si="38"/>
        <v/>
      </c>
    </row>
    <row r="236" spans="1:18">
      <c r="A236" s="58" t="str">
        <f t="shared" si="39"/>
        <v/>
      </c>
      <c r="B236" s="58"/>
      <c r="C236" s="57"/>
      <c r="D236" s="58"/>
      <c r="E236" s="58"/>
      <c r="F236" s="58"/>
      <c r="G236" s="58"/>
      <c r="H236" s="58"/>
      <c r="I236" s="58"/>
      <c r="J236" s="58" t="str">
        <f t="shared" si="35"/>
        <v/>
      </c>
      <c r="K236" s="58" t="str">
        <f t="shared" si="36"/>
        <v/>
      </c>
      <c r="L236" s="59" t="str">
        <f>IF(C236="","",DATEDIF(C236,'Premium Table'!$B$6,"Y"))</f>
        <v/>
      </c>
      <c r="M236" s="59" t="str">
        <f t="shared" si="40"/>
        <v/>
      </c>
      <c r="N236" s="59" t="str">
        <f t="shared" si="37"/>
        <v/>
      </c>
      <c r="O236" s="102" t="str">
        <f t="shared" si="41"/>
        <v/>
      </c>
      <c r="P236" s="102" t="str">
        <f t="shared" si="42"/>
        <v/>
      </c>
      <c r="Q236" s="68">
        <f t="shared" si="43"/>
        <v>0</v>
      </c>
      <c r="R236" s="102" t="str">
        <f t="shared" si="38"/>
        <v/>
      </c>
    </row>
    <row r="237" spans="1:18">
      <c r="A237" s="58" t="str">
        <f t="shared" si="39"/>
        <v/>
      </c>
      <c r="B237" s="58"/>
      <c r="C237" s="57"/>
      <c r="D237" s="58"/>
      <c r="E237" s="58"/>
      <c r="F237" s="58"/>
      <c r="G237" s="58"/>
      <c r="H237" s="58"/>
      <c r="I237" s="58"/>
      <c r="J237" s="58" t="str">
        <f t="shared" si="35"/>
        <v/>
      </c>
      <c r="K237" s="58" t="str">
        <f t="shared" si="36"/>
        <v/>
      </c>
      <c r="L237" s="59" t="str">
        <f>IF(C237="","",DATEDIF(C237,'Premium Table'!$B$6,"Y"))</f>
        <v/>
      </c>
      <c r="M237" s="59" t="str">
        <f t="shared" si="40"/>
        <v/>
      </c>
      <c r="N237" s="59" t="str">
        <f t="shared" si="37"/>
        <v/>
      </c>
      <c r="O237" s="102" t="str">
        <f t="shared" si="41"/>
        <v/>
      </c>
      <c r="P237" s="102" t="str">
        <f t="shared" si="42"/>
        <v/>
      </c>
      <c r="Q237" s="68">
        <f t="shared" si="43"/>
        <v>0</v>
      </c>
      <c r="R237" s="102" t="str">
        <f t="shared" si="38"/>
        <v/>
      </c>
    </row>
    <row r="238" spans="1:18">
      <c r="A238" s="58" t="str">
        <f t="shared" si="39"/>
        <v/>
      </c>
      <c r="B238" s="58"/>
      <c r="C238" s="57"/>
      <c r="D238" s="58"/>
      <c r="E238" s="58"/>
      <c r="F238" s="58"/>
      <c r="G238" s="58"/>
      <c r="H238" s="58"/>
      <c r="I238" s="58"/>
      <c r="J238" s="58" t="str">
        <f t="shared" si="35"/>
        <v/>
      </c>
      <c r="K238" s="58" t="str">
        <f t="shared" si="36"/>
        <v/>
      </c>
      <c r="L238" s="59" t="str">
        <f>IF(C238="","",DATEDIF(C238,'Premium Table'!$B$6,"Y"))</f>
        <v/>
      </c>
      <c r="M238" s="59" t="str">
        <f t="shared" si="40"/>
        <v/>
      </c>
      <c r="N238" s="59" t="str">
        <f t="shared" si="37"/>
        <v/>
      </c>
      <c r="O238" s="102" t="str">
        <f t="shared" si="41"/>
        <v/>
      </c>
      <c r="P238" s="102" t="str">
        <f t="shared" si="42"/>
        <v/>
      </c>
      <c r="Q238" s="68">
        <f t="shared" si="43"/>
        <v>0</v>
      </c>
      <c r="R238" s="102" t="str">
        <f t="shared" si="38"/>
        <v/>
      </c>
    </row>
    <row r="239" spans="1:18">
      <c r="A239" s="58" t="str">
        <f t="shared" si="39"/>
        <v/>
      </c>
      <c r="B239" s="58"/>
      <c r="C239" s="57"/>
      <c r="D239" s="58"/>
      <c r="E239" s="58"/>
      <c r="F239" s="58"/>
      <c r="G239" s="58"/>
      <c r="H239" s="58"/>
      <c r="I239" s="58"/>
      <c r="J239" s="58" t="str">
        <f t="shared" si="35"/>
        <v/>
      </c>
      <c r="K239" s="58" t="str">
        <f t="shared" si="36"/>
        <v/>
      </c>
      <c r="L239" s="59" t="str">
        <f>IF(C239="","",DATEDIF(C239,'Premium Table'!$B$6,"Y"))</f>
        <v/>
      </c>
      <c r="M239" s="59" t="str">
        <f t="shared" si="40"/>
        <v/>
      </c>
      <c r="N239" s="59" t="str">
        <f t="shared" si="37"/>
        <v/>
      </c>
      <c r="O239" s="102" t="str">
        <f t="shared" si="41"/>
        <v/>
      </c>
      <c r="P239" s="102" t="str">
        <f t="shared" si="42"/>
        <v/>
      </c>
      <c r="Q239" s="68">
        <f t="shared" si="43"/>
        <v>0</v>
      </c>
      <c r="R239" s="102" t="str">
        <f t="shared" si="38"/>
        <v/>
      </c>
    </row>
    <row r="240" spans="1:18">
      <c r="A240" s="58" t="str">
        <f t="shared" si="39"/>
        <v/>
      </c>
      <c r="B240" s="58"/>
      <c r="C240" s="57"/>
      <c r="D240" s="58"/>
      <c r="E240" s="58"/>
      <c r="F240" s="58"/>
      <c r="G240" s="58"/>
      <c r="H240" s="58"/>
      <c r="I240" s="58"/>
      <c r="J240" s="58" t="str">
        <f t="shared" si="35"/>
        <v/>
      </c>
      <c r="K240" s="58" t="str">
        <f t="shared" si="36"/>
        <v/>
      </c>
      <c r="L240" s="59" t="str">
        <f>IF(C240="","",DATEDIF(C240,'Premium Table'!$B$6,"Y"))</f>
        <v/>
      </c>
      <c r="M240" s="59" t="str">
        <f t="shared" si="40"/>
        <v/>
      </c>
      <c r="N240" s="59" t="str">
        <f t="shared" si="37"/>
        <v/>
      </c>
      <c r="O240" s="102" t="str">
        <f t="shared" si="41"/>
        <v/>
      </c>
      <c r="P240" s="102" t="str">
        <f t="shared" si="42"/>
        <v/>
      </c>
      <c r="Q240" s="68">
        <f t="shared" si="43"/>
        <v>0</v>
      </c>
      <c r="R240" s="102" t="str">
        <f t="shared" si="38"/>
        <v/>
      </c>
    </row>
    <row r="241" spans="1:18">
      <c r="A241" s="58" t="str">
        <f t="shared" si="39"/>
        <v/>
      </c>
      <c r="B241" s="58"/>
      <c r="C241" s="57"/>
      <c r="D241" s="58"/>
      <c r="E241" s="58"/>
      <c r="F241" s="58"/>
      <c r="G241" s="58"/>
      <c r="H241" s="58"/>
      <c r="I241" s="58"/>
      <c r="J241" s="58" t="str">
        <f t="shared" si="35"/>
        <v/>
      </c>
      <c r="K241" s="58" t="str">
        <f t="shared" si="36"/>
        <v/>
      </c>
      <c r="L241" s="59" t="str">
        <f>IF(C241="","",DATEDIF(C241,'Premium Table'!$B$6,"Y"))</f>
        <v/>
      </c>
      <c r="M241" s="59" t="str">
        <f t="shared" si="40"/>
        <v/>
      </c>
      <c r="N241" s="59" t="str">
        <f t="shared" si="37"/>
        <v/>
      </c>
      <c r="O241" s="102" t="str">
        <f t="shared" si="41"/>
        <v/>
      </c>
      <c r="P241" s="102" t="str">
        <f t="shared" si="42"/>
        <v/>
      </c>
      <c r="Q241" s="68">
        <f t="shared" si="43"/>
        <v>0</v>
      </c>
      <c r="R241" s="102" t="str">
        <f t="shared" si="38"/>
        <v/>
      </c>
    </row>
    <row r="242" spans="1:18">
      <c r="A242" s="58" t="str">
        <f t="shared" si="39"/>
        <v/>
      </c>
      <c r="B242" s="58"/>
      <c r="C242" s="57"/>
      <c r="D242" s="58"/>
      <c r="E242" s="58"/>
      <c r="F242" s="58"/>
      <c r="G242" s="58"/>
      <c r="H242" s="58"/>
      <c r="I242" s="58"/>
      <c r="J242" s="58" t="str">
        <f t="shared" si="35"/>
        <v/>
      </c>
      <c r="K242" s="58" t="str">
        <f t="shared" si="36"/>
        <v/>
      </c>
      <c r="L242" s="59" t="str">
        <f>IF(C242="","",DATEDIF(C242,'Premium Table'!$B$6,"Y"))</f>
        <v/>
      </c>
      <c r="M242" s="59" t="str">
        <f t="shared" si="40"/>
        <v/>
      </c>
      <c r="N242" s="59" t="str">
        <f t="shared" si="37"/>
        <v/>
      </c>
      <c r="O242" s="102" t="str">
        <f t="shared" si="41"/>
        <v/>
      </c>
      <c r="P242" s="102" t="str">
        <f t="shared" si="42"/>
        <v/>
      </c>
      <c r="Q242" s="68">
        <f t="shared" si="43"/>
        <v>0</v>
      </c>
      <c r="R242" s="102" t="str">
        <f t="shared" si="38"/>
        <v/>
      </c>
    </row>
    <row r="243" spans="1:18">
      <c r="A243" s="58" t="str">
        <f t="shared" si="39"/>
        <v/>
      </c>
      <c r="B243" s="58"/>
      <c r="C243" s="57"/>
      <c r="D243" s="58"/>
      <c r="E243" s="58"/>
      <c r="F243" s="58"/>
      <c r="G243" s="58"/>
      <c r="H243" s="58"/>
      <c r="I243" s="58"/>
      <c r="J243" s="58" t="str">
        <f t="shared" si="35"/>
        <v/>
      </c>
      <c r="K243" s="58" t="str">
        <f t="shared" si="36"/>
        <v/>
      </c>
      <c r="L243" s="59" t="str">
        <f>IF(C243="","",DATEDIF(C243,'Premium Table'!$B$6,"Y"))</f>
        <v/>
      </c>
      <c r="M243" s="59" t="str">
        <f t="shared" si="40"/>
        <v/>
      </c>
      <c r="N243" s="59" t="str">
        <f t="shared" si="37"/>
        <v/>
      </c>
      <c r="O243" s="102" t="str">
        <f t="shared" si="41"/>
        <v/>
      </c>
      <c r="P243" s="102" t="str">
        <f t="shared" si="42"/>
        <v/>
      </c>
      <c r="Q243" s="68">
        <f t="shared" si="43"/>
        <v>0</v>
      </c>
      <c r="R243" s="102" t="str">
        <f t="shared" si="38"/>
        <v/>
      </c>
    </row>
    <row r="244" spans="1:18">
      <c r="A244" s="58" t="str">
        <f t="shared" si="39"/>
        <v/>
      </c>
      <c r="B244" s="58"/>
      <c r="C244" s="57"/>
      <c r="D244" s="58"/>
      <c r="E244" s="58"/>
      <c r="F244" s="58"/>
      <c r="G244" s="58"/>
      <c r="H244" s="58"/>
      <c r="I244" s="58"/>
      <c r="J244" s="58" t="str">
        <f t="shared" si="35"/>
        <v/>
      </c>
      <c r="K244" s="58" t="str">
        <f t="shared" si="36"/>
        <v/>
      </c>
      <c r="L244" s="59" t="str">
        <f>IF(C244="","",DATEDIF(C244,'Premium Table'!$B$6,"Y"))</f>
        <v/>
      </c>
      <c r="M244" s="59" t="str">
        <f t="shared" si="40"/>
        <v/>
      </c>
      <c r="N244" s="59" t="str">
        <f t="shared" si="37"/>
        <v/>
      </c>
      <c r="O244" s="102" t="str">
        <f t="shared" si="41"/>
        <v/>
      </c>
      <c r="P244" s="102" t="str">
        <f t="shared" si="42"/>
        <v/>
      </c>
      <c r="Q244" s="68">
        <f t="shared" si="43"/>
        <v>0</v>
      </c>
      <c r="R244" s="102" t="str">
        <f t="shared" si="38"/>
        <v/>
      </c>
    </row>
    <row r="245" spans="1:18">
      <c r="A245" s="58" t="str">
        <f t="shared" si="39"/>
        <v/>
      </c>
      <c r="B245" s="58"/>
      <c r="C245" s="57"/>
      <c r="D245" s="58"/>
      <c r="E245" s="58"/>
      <c r="F245" s="58"/>
      <c r="G245" s="58"/>
      <c r="H245" s="58"/>
      <c r="I245" s="58"/>
      <c r="J245" s="58" t="str">
        <f t="shared" si="35"/>
        <v/>
      </c>
      <c r="K245" s="58" t="str">
        <f t="shared" si="36"/>
        <v/>
      </c>
      <c r="L245" s="59" t="str">
        <f>IF(C245="","",DATEDIF(C245,'Premium Table'!$B$6,"Y"))</f>
        <v/>
      </c>
      <c r="M245" s="59" t="str">
        <f t="shared" si="40"/>
        <v/>
      </c>
      <c r="N245" s="59" t="str">
        <f t="shared" si="37"/>
        <v/>
      </c>
      <c r="O245" s="102" t="str">
        <f t="shared" si="41"/>
        <v/>
      </c>
      <c r="P245" s="102" t="str">
        <f t="shared" si="42"/>
        <v/>
      </c>
      <c r="Q245" s="68">
        <f t="shared" si="43"/>
        <v>0</v>
      </c>
      <c r="R245" s="102" t="str">
        <f t="shared" si="38"/>
        <v/>
      </c>
    </row>
    <row r="246" spans="1:18">
      <c r="A246" s="58" t="str">
        <f t="shared" si="39"/>
        <v/>
      </c>
      <c r="B246" s="58"/>
      <c r="C246" s="57"/>
      <c r="D246" s="58"/>
      <c r="E246" s="58"/>
      <c r="F246" s="58"/>
      <c r="G246" s="58"/>
      <c r="H246" s="58"/>
      <c r="I246" s="58"/>
      <c r="J246" s="58" t="str">
        <f t="shared" si="35"/>
        <v/>
      </c>
      <c r="K246" s="58" t="str">
        <f t="shared" si="36"/>
        <v/>
      </c>
      <c r="L246" s="59" t="str">
        <f>IF(C246="","",DATEDIF(C246,'Premium Table'!$B$6,"Y"))</f>
        <v/>
      </c>
      <c r="M246" s="59" t="str">
        <f t="shared" si="40"/>
        <v/>
      </c>
      <c r="N246" s="59" t="str">
        <f t="shared" si="37"/>
        <v/>
      </c>
      <c r="O246" s="102" t="str">
        <f t="shared" si="41"/>
        <v/>
      </c>
      <c r="P246" s="102" t="str">
        <f t="shared" si="42"/>
        <v/>
      </c>
      <c r="Q246" s="68">
        <f t="shared" si="43"/>
        <v>0</v>
      </c>
      <c r="R246" s="102" t="str">
        <f t="shared" si="38"/>
        <v/>
      </c>
    </row>
    <row r="247" spans="1:18">
      <c r="A247" s="58" t="str">
        <f t="shared" si="39"/>
        <v/>
      </c>
      <c r="B247" s="58"/>
      <c r="C247" s="57"/>
      <c r="D247" s="58"/>
      <c r="E247" s="58"/>
      <c r="F247" s="58"/>
      <c r="G247" s="58"/>
      <c r="H247" s="58"/>
      <c r="I247" s="58"/>
      <c r="J247" s="58" t="str">
        <f t="shared" si="35"/>
        <v/>
      </c>
      <c r="K247" s="58" t="str">
        <f t="shared" si="36"/>
        <v/>
      </c>
      <c r="L247" s="59" t="str">
        <f>IF(C247="","",DATEDIF(C247,'Premium Table'!$B$6,"Y"))</f>
        <v/>
      </c>
      <c r="M247" s="59" t="str">
        <f t="shared" si="40"/>
        <v/>
      </c>
      <c r="N247" s="59" t="str">
        <f t="shared" si="37"/>
        <v/>
      </c>
      <c r="O247" s="102" t="str">
        <f t="shared" si="41"/>
        <v/>
      </c>
      <c r="P247" s="102" t="str">
        <f t="shared" si="42"/>
        <v/>
      </c>
      <c r="Q247" s="68">
        <f t="shared" si="43"/>
        <v>0</v>
      </c>
      <c r="R247" s="102" t="str">
        <f t="shared" si="38"/>
        <v/>
      </c>
    </row>
    <row r="248" spans="1:18">
      <c r="A248" s="58" t="str">
        <f t="shared" si="39"/>
        <v/>
      </c>
      <c r="B248" s="58"/>
      <c r="C248" s="57"/>
      <c r="D248" s="58"/>
      <c r="E248" s="58"/>
      <c r="F248" s="58"/>
      <c r="G248" s="58"/>
      <c r="H248" s="58"/>
      <c r="I248" s="58"/>
      <c r="J248" s="58" t="str">
        <f t="shared" si="35"/>
        <v/>
      </c>
      <c r="K248" s="58" t="str">
        <f t="shared" si="36"/>
        <v/>
      </c>
      <c r="L248" s="59" t="str">
        <f>IF(C248="","",DATEDIF(C248,'Premium Table'!$B$6,"Y"))</f>
        <v/>
      </c>
      <c r="M248" s="59" t="str">
        <f t="shared" si="40"/>
        <v/>
      </c>
      <c r="N248" s="59" t="str">
        <f t="shared" si="37"/>
        <v/>
      </c>
      <c r="O248" s="102" t="str">
        <f t="shared" si="41"/>
        <v/>
      </c>
      <c r="P248" s="102" t="str">
        <f t="shared" si="42"/>
        <v/>
      </c>
      <c r="Q248" s="68">
        <f t="shared" si="43"/>
        <v>0</v>
      </c>
      <c r="R248" s="102" t="str">
        <f t="shared" si="38"/>
        <v/>
      </c>
    </row>
    <row r="249" spans="1:18">
      <c r="A249" s="58" t="str">
        <f t="shared" si="39"/>
        <v/>
      </c>
      <c r="B249" s="58"/>
      <c r="C249" s="57"/>
      <c r="D249" s="58"/>
      <c r="E249" s="58"/>
      <c r="F249" s="58"/>
      <c r="G249" s="58"/>
      <c r="H249" s="58"/>
      <c r="I249" s="58"/>
      <c r="J249" s="58" t="str">
        <f t="shared" si="35"/>
        <v/>
      </c>
      <c r="K249" s="58" t="str">
        <f t="shared" si="36"/>
        <v/>
      </c>
      <c r="L249" s="59" t="str">
        <f>IF(C249="","",DATEDIF(C249,'Premium Table'!$B$6,"Y"))</f>
        <v/>
      </c>
      <c r="M249" s="59" t="str">
        <f t="shared" si="40"/>
        <v/>
      </c>
      <c r="N249" s="59" t="str">
        <f t="shared" si="37"/>
        <v/>
      </c>
      <c r="O249" s="102" t="str">
        <f t="shared" si="41"/>
        <v/>
      </c>
      <c r="P249" s="102" t="str">
        <f t="shared" si="42"/>
        <v/>
      </c>
      <c r="Q249" s="68">
        <f t="shared" si="43"/>
        <v>0</v>
      </c>
      <c r="R249" s="102" t="str">
        <f t="shared" si="38"/>
        <v/>
      </c>
    </row>
    <row r="250" spans="1:18">
      <c r="A250" s="58" t="str">
        <f t="shared" si="39"/>
        <v/>
      </c>
      <c r="B250" s="58"/>
      <c r="C250" s="57"/>
      <c r="D250" s="58"/>
      <c r="E250" s="58"/>
      <c r="F250" s="58"/>
      <c r="G250" s="58"/>
      <c r="H250" s="58"/>
      <c r="I250" s="58"/>
      <c r="J250" s="58" t="str">
        <f t="shared" si="35"/>
        <v/>
      </c>
      <c r="K250" s="58" t="str">
        <f t="shared" si="36"/>
        <v/>
      </c>
      <c r="L250" s="59" t="str">
        <f>IF(C250="","",DATEDIF(C250,'Premium Table'!$B$6,"Y"))</f>
        <v/>
      </c>
      <c r="M250" s="59" t="str">
        <f t="shared" si="40"/>
        <v/>
      </c>
      <c r="N250" s="59" t="str">
        <f t="shared" si="37"/>
        <v/>
      </c>
      <c r="O250" s="102" t="str">
        <f t="shared" si="41"/>
        <v/>
      </c>
      <c r="P250" s="102" t="str">
        <f t="shared" si="42"/>
        <v/>
      </c>
      <c r="Q250" s="68">
        <f t="shared" si="43"/>
        <v>0</v>
      </c>
      <c r="R250" s="102" t="str">
        <f t="shared" si="38"/>
        <v/>
      </c>
    </row>
    <row r="251" spans="1:18">
      <c r="A251" s="58" t="str">
        <f t="shared" si="39"/>
        <v/>
      </c>
      <c r="B251" s="58"/>
      <c r="C251" s="57"/>
      <c r="D251" s="58"/>
      <c r="E251" s="58"/>
      <c r="F251" s="58"/>
      <c r="G251" s="58"/>
      <c r="H251" s="58"/>
      <c r="I251" s="58"/>
      <c r="J251" s="58" t="str">
        <f t="shared" si="35"/>
        <v/>
      </c>
      <c r="K251" s="58" t="str">
        <f t="shared" si="36"/>
        <v/>
      </c>
      <c r="L251" s="59" t="str">
        <f>IF(C251="","",DATEDIF(C251,'Premium Table'!$B$6,"Y"))</f>
        <v/>
      </c>
      <c r="M251" s="59" t="str">
        <f t="shared" si="40"/>
        <v/>
      </c>
      <c r="N251" s="59" t="str">
        <f t="shared" si="37"/>
        <v/>
      </c>
      <c r="O251" s="102" t="str">
        <f t="shared" si="41"/>
        <v/>
      </c>
      <c r="P251" s="102" t="str">
        <f t="shared" si="42"/>
        <v/>
      </c>
      <c r="Q251" s="68">
        <f t="shared" si="43"/>
        <v>0</v>
      </c>
      <c r="R251" s="102" t="str">
        <f t="shared" si="38"/>
        <v/>
      </c>
    </row>
    <row r="252" spans="1:18">
      <c r="A252" s="58" t="str">
        <f t="shared" si="39"/>
        <v/>
      </c>
      <c r="B252" s="58"/>
      <c r="C252" s="57"/>
      <c r="D252" s="58"/>
      <c r="E252" s="58"/>
      <c r="F252" s="58"/>
      <c r="G252" s="58"/>
      <c r="H252" s="58"/>
      <c r="I252" s="58"/>
      <c r="J252" s="58" t="str">
        <f t="shared" si="35"/>
        <v/>
      </c>
      <c r="K252" s="58" t="str">
        <f t="shared" si="36"/>
        <v/>
      </c>
      <c r="L252" s="59" t="str">
        <f>IF(C252="","",DATEDIF(C252,'Premium Table'!$B$6,"Y"))</f>
        <v/>
      </c>
      <c r="M252" s="59" t="str">
        <f t="shared" si="40"/>
        <v/>
      </c>
      <c r="N252" s="59" t="str">
        <f t="shared" si="37"/>
        <v/>
      </c>
      <c r="O252" s="102" t="str">
        <f t="shared" si="41"/>
        <v/>
      </c>
      <c r="P252" s="102" t="str">
        <f t="shared" si="42"/>
        <v/>
      </c>
      <c r="Q252" s="68">
        <f t="shared" si="43"/>
        <v>0</v>
      </c>
      <c r="R252" s="102" t="str">
        <f t="shared" si="38"/>
        <v/>
      </c>
    </row>
    <row r="253" spans="1:18">
      <c r="A253" s="58" t="str">
        <f t="shared" si="39"/>
        <v/>
      </c>
      <c r="B253" s="58"/>
      <c r="C253" s="57"/>
      <c r="D253" s="58"/>
      <c r="E253" s="58"/>
      <c r="F253" s="58"/>
      <c r="G253" s="58"/>
      <c r="H253" s="58"/>
      <c r="I253" s="58"/>
      <c r="J253" s="58" t="str">
        <f t="shared" si="35"/>
        <v/>
      </c>
      <c r="K253" s="58" t="str">
        <f t="shared" si="36"/>
        <v/>
      </c>
      <c r="L253" s="59" t="str">
        <f>IF(C253="","",DATEDIF(C253,'Premium Table'!$B$6,"Y"))</f>
        <v/>
      </c>
      <c r="M253" s="59" t="str">
        <f t="shared" si="40"/>
        <v/>
      </c>
      <c r="N253" s="59" t="str">
        <f t="shared" si="37"/>
        <v/>
      </c>
      <c r="O253" s="102" t="str">
        <f t="shared" si="41"/>
        <v/>
      </c>
      <c r="P253" s="102" t="str">
        <f t="shared" si="42"/>
        <v/>
      </c>
      <c r="Q253" s="68">
        <f t="shared" si="43"/>
        <v>0</v>
      </c>
      <c r="R253" s="102" t="str">
        <f t="shared" si="38"/>
        <v/>
      </c>
    </row>
    <row r="254" spans="1:18">
      <c r="A254" s="58" t="str">
        <f t="shared" si="39"/>
        <v/>
      </c>
      <c r="B254" s="58"/>
      <c r="C254" s="57"/>
      <c r="D254" s="58"/>
      <c r="E254" s="58"/>
      <c r="F254" s="58"/>
      <c r="G254" s="58"/>
      <c r="H254" s="58"/>
      <c r="I254" s="58"/>
      <c r="J254" s="58" t="str">
        <f t="shared" si="35"/>
        <v/>
      </c>
      <c r="K254" s="58" t="str">
        <f t="shared" si="36"/>
        <v/>
      </c>
      <c r="L254" s="59" t="str">
        <f>IF(C254="","",DATEDIF(C254,'Premium Table'!$B$6,"Y"))</f>
        <v/>
      </c>
      <c r="M254" s="59" t="str">
        <f t="shared" si="40"/>
        <v/>
      </c>
      <c r="N254" s="59" t="str">
        <f t="shared" si="37"/>
        <v/>
      </c>
      <c r="O254" s="102" t="str">
        <f t="shared" si="41"/>
        <v/>
      </c>
      <c r="P254" s="102" t="str">
        <f t="shared" si="42"/>
        <v/>
      </c>
      <c r="Q254" s="68">
        <f t="shared" si="43"/>
        <v>0</v>
      </c>
      <c r="R254" s="102" t="str">
        <f t="shared" si="38"/>
        <v/>
      </c>
    </row>
    <row r="255" spans="1:18">
      <c r="A255" s="58" t="str">
        <f t="shared" si="39"/>
        <v/>
      </c>
      <c r="B255" s="58"/>
      <c r="C255" s="57"/>
      <c r="D255" s="58"/>
      <c r="E255" s="58"/>
      <c r="F255" s="58"/>
      <c r="G255" s="58"/>
      <c r="H255" s="58"/>
      <c r="I255" s="58"/>
      <c r="J255" s="58" t="str">
        <f t="shared" si="35"/>
        <v/>
      </c>
      <c r="K255" s="58" t="str">
        <f t="shared" si="36"/>
        <v/>
      </c>
      <c r="L255" s="59" t="str">
        <f>IF(C255="","",DATEDIF(C255,'Premium Table'!$B$6,"Y"))</f>
        <v/>
      </c>
      <c r="M255" s="59" t="str">
        <f t="shared" si="40"/>
        <v/>
      </c>
      <c r="N255" s="59" t="str">
        <f t="shared" si="37"/>
        <v/>
      </c>
      <c r="O255" s="102" t="str">
        <f t="shared" si="41"/>
        <v/>
      </c>
      <c r="P255" s="102" t="str">
        <f t="shared" si="42"/>
        <v/>
      </c>
      <c r="Q255" s="68">
        <f t="shared" si="43"/>
        <v>0</v>
      </c>
      <c r="R255" s="102" t="str">
        <f t="shared" si="38"/>
        <v/>
      </c>
    </row>
    <row r="256" spans="1:18">
      <c r="A256" s="58" t="str">
        <f t="shared" si="39"/>
        <v/>
      </c>
      <c r="B256" s="58"/>
      <c r="C256" s="57"/>
      <c r="D256" s="58"/>
      <c r="E256" s="58"/>
      <c r="F256" s="58"/>
      <c r="G256" s="58"/>
      <c r="H256" s="58"/>
      <c r="I256" s="58"/>
      <c r="J256" s="58" t="str">
        <f t="shared" si="35"/>
        <v/>
      </c>
      <c r="K256" s="58" t="str">
        <f t="shared" si="36"/>
        <v/>
      </c>
      <c r="L256" s="59" t="str">
        <f>IF(C256="","",DATEDIF(C256,'Premium Table'!$B$6,"Y"))</f>
        <v/>
      </c>
      <c r="M256" s="59" t="str">
        <f t="shared" si="40"/>
        <v/>
      </c>
      <c r="N256" s="59" t="str">
        <f t="shared" si="37"/>
        <v/>
      </c>
      <c r="O256" s="102" t="str">
        <f t="shared" si="41"/>
        <v/>
      </c>
      <c r="P256" s="102" t="str">
        <f t="shared" si="42"/>
        <v/>
      </c>
      <c r="Q256" s="68">
        <f t="shared" si="43"/>
        <v>0</v>
      </c>
      <c r="R256" s="102" t="str">
        <f t="shared" si="38"/>
        <v/>
      </c>
    </row>
    <row r="257" spans="1:18">
      <c r="A257" s="58" t="str">
        <f t="shared" si="39"/>
        <v/>
      </c>
      <c r="B257" s="58"/>
      <c r="C257" s="57"/>
      <c r="D257" s="58"/>
      <c r="E257" s="58"/>
      <c r="F257" s="58"/>
      <c r="G257" s="58"/>
      <c r="H257" s="58"/>
      <c r="I257" s="58"/>
      <c r="J257" s="58" t="str">
        <f t="shared" si="35"/>
        <v/>
      </c>
      <c r="K257" s="58" t="str">
        <f t="shared" si="36"/>
        <v/>
      </c>
      <c r="L257" s="59" t="str">
        <f>IF(C257="","",DATEDIF(C257,'Premium Table'!$B$6,"Y"))</f>
        <v/>
      </c>
      <c r="M257" s="59" t="str">
        <f t="shared" si="40"/>
        <v/>
      </c>
      <c r="N257" s="59" t="str">
        <f t="shared" si="37"/>
        <v/>
      </c>
      <c r="O257" s="102" t="str">
        <f t="shared" si="41"/>
        <v/>
      </c>
      <c r="P257" s="102" t="str">
        <f t="shared" si="42"/>
        <v/>
      </c>
      <c r="Q257" s="68">
        <f t="shared" si="43"/>
        <v>0</v>
      </c>
      <c r="R257" s="102" t="str">
        <f t="shared" si="38"/>
        <v/>
      </c>
    </row>
    <row r="258" spans="1:18">
      <c r="A258" s="58" t="str">
        <f t="shared" si="39"/>
        <v/>
      </c>
      <c r="B258" s="58"/>
      <c r="C258" s="57"/>
      <c r="D258" s="58"/>
      <c r="E258" s="58"/>
      <c r="F258" s="58"/>
      <c r="G258" s="58"/>
      <c r="H258" s="58"/>
      <c r="I258" s="58"/>
      <c r="J258" s="58" t="str">
        <f t="shared" si="35"/>
        <v/>
      </c>
      <c r="K258" s="58" t="str">
        <f t="shared" si="36"/>
        <v/>
      </c>
      <c r="L258" s="59" t="str">
        <f>IF(C258="","",DATEDIF(C258,'Premium Table'!$B$6,"Y"))</f>
        <v/>
      </c>
      <c r="M258" s="59" t="str">
        <f t="shared" si="40"/>
        <v/>
      </c>
      <c r="N258" s="59" t="str">
        <f t="shared" si="37"/>
        <v/>
      </c>
      <c r="O258" s="102" t="str">
        <f t="shared" si="41"/>
        <v/>
      </c>
      <c r="P258" s="102" t="str">
        <f t="shared" si="42"/>
        <v/>
      </c>
      <c r="Q258" s="68">
        <f t="shared" si="43"/>
        <v>0</v>
      </c>
      <c r="R258" s="102" t="str">
        <f t="shared" si="38"/>
        <v/>
      </c>
    </row>
    <row r="259" spans="1:18">
      <c r="A259" s="58" t="str">
        <f t="shared" si="39"/>
        <v/>
      </c>
      <c r="B259" s="58"/>
      <c r="C259" s="57"/>
      <c r="D259" s="58"/>
      <c r="E259" s="58"/>
      <c r="F259" s="58"/>
      <c r="G259" s="58"/>
      <c r="H259" s="58"/>
      <c r="I259" s="58"/>
      <c r="J259" s="58" t="str">
        <f t="shared" si="35"/>
        <v/>
      </c>
      <c r="K259" s="58" t="str">
        <f t="shared" si="36"/>
        <v/>
      </c>
      <c r="L259" s="59" t="str">
        <f>IF(C259="","",DATEDIF(C259,'Premium Table'!$B$6,"Y"))</f>
        <v/>
      </c>
      <c r="M259" s="59" t="str">
        <f t="shared" si="40"/>
        <v/>
      </c>
      <c r="N259" s="59" t="str">
        <f t="shared" si="37"/>
        <v/>
      </c>
      <c r="O259" s="102" t="str">
        <f t="shared" si="41"/>
        <v/>
      </c>
      <c r="P259" s="102" t="str">
        <f t="shared" si="42"/>
        <v/>
      </c>
      <c r="Q259" s="68">
        <f t="shared" si="43"/>
        <v>0</v>
      </c>
      <c r="R259" s="102" t="str">
        <f t="shared" si="38"/>
        <v/>
      </c>
    </row>
    <row r="260" spans="1:18">
      <c r="A260" s="58" t="str">
        <f t="shared" si="39"/>
        <v/>
      </c>
      <c r="B260" s="58"/>
      <c r="C260" s="57"/>
      <c r="D260" s="58"/>
      <c r="E260" s="58"/>
      <c r="F260" s="58"/>
      <c r="G260" s="58"/>
      <c r="H260" s="58"/>
      <c r="I260" s="58"/>
      <c r="J260" s="58" t="str">
        <f t="shared" si="35"/>
        <v/>
      </c>
      <c r="K260" s="58" t="str">
        <f t="shared" si="36"/>
        <v/>
      </c>
      <c r="L260" s="59" t="str">
        <f>IF(C260="","",DATEDIF(C260,'Premium Table'!$B$6,"Y"))</f>
        <v/>
      </c>
      <c r="M260" s="59" t="str">
        <f t="shared" si="40"/>
        <v/>
      </c>
      <c r="N260" s="59" t="str">
        <f t="shared" si="37"/>
        <v/>
      </c>
      <c r="O260" s="102" t="str">
        <f t="shared" si="41"/>
        <v/>
      </c>
      <c r="P260" s="102" t="str">
        <f t="shared" si="42"/>
        <v/>
      </c>
      <c r="Q260" s="68">
        <f t="shared" si="43"/>
        <v>0</v>
      </c>
      <c r="R260" s="102" t="str">
        <f t="shared" si="38"/>
        <v/>
      </c>
    </row>
    <row r="261" spans="1:18">
      <c r="A261" s="58" t="str">
        <f t="shared" si="39"/>
        <v/>
      </c>
      <c r="B261" s="58"/>
      <c r="C261" s="57"/>
      <c r="D261" s="58"/>
      <c r="E261" s="58"/>
      <c r="F261" s="58"/>
      <c r="G261" s="58"/>
      <c r="H261" s="58"/>
      <c r="I261" s="58"/>
      <c r="J261" s="58" t="str">
        <f t="shared" si="35"/>
        <v/>
      </c>
      <c r="K261" s="58" t="str">
        <f t="shared" si="36"/>
        <v/>
      </c>
      <c r="L261" s="59" t="str">
        <f>IF(C261="","",DATEDIF(C261,'Premium Table'!$B$6,"Y"))</f>
        <v/>
      </c>
      <c r="M261" s="59" t="str">
        <f t="shared" si="40"/>
        <v/>
      </c>
      <c r="N261" s="59" t="str">
        <f t="shared" si="37"/>
        <v/>
      </c>
      <c r="O261" s="102" t="str">
        <f t="shared" si="41"/>
        <v/>
      </c>
      <c r="P261" s="102" t="str">
        <f t="shared" si="42"/>
        <v/>
      </c>
      <c r="Q261" s="68">
        <f t="shared" si="43"/>
        <v>0</v>
      </c>
      <c r="R261" s="102" t="str">
        <f t="shared" si="38"/>
        <v/>
      </c>
    </row>
    <row r="262" spans="1:18">
      <c r="A262" s="58" t="str">
        <f t="shared" si="39"/>
        <v/>
      </c>
      <c r="B262" s="58"/>
      <c r="C262" s="57"/>
      <c r="D262" s="58"/>
      <c r="E262" s="58"/>
      <c r="F262" s="58"/>
      <c r="G262" s="58"/>
      <c r="H262" s="58"/>
      <c r="I262" s="58"/>
      <c r="J262" s="58" t="str">
        <f t="shared" ref="J262:J325" si="44">IF(D262="","",E262&amp;LEFT(D262)&amp;IF(F262="Employee","E","D"))</f>
        <v/>
      </c>
      <c r="K262" s="58" t="str">
        <f t="shared" ref="K262:K325" si="45">IF(J262="","",VLOOKUP(J262,$Y$19:$Z$50,2,FALSE))</f>
        <v/>
      </c>
      <c r="L262" s="59" t="str">
        <f>IF(C262="","",DATEDIF(C262,'Premium Table'!$B$6,"Y"))</f>
        <v/>
      </c>
      <c r="M262" s="59" t="str">
        <f t="shared" si="40"/>
        <v/>
      </c>
      <c r="N262" s="59" t="str">
        <f t="shared" ref="N262:N325" si="46">IF(L262="","",IF(M262="","",IF(H262="DXB",VLOOKUP(M262,DXBAgeBr,3,FALSE),IF(H262="AUH",VLOOKUP(M262,AUHAgeBr,2,FALSE),""))))</f>
        <v/>
      </c>
      <c r="O262" s="102" t="str">
        <f t="shared" si="41"/>
        <v/>
      </c>
      <c r="P262" s="102" t="str">
        <f t="shared" si="42"/>
        <v/>
      </c>
      <c r="Q262" s="68">
        <f t="shared" si="43"/>
        <v>0</v>
      </c>
      <c r="R262" s="102" t="str">
        <f t="shared" ref="R262:R325" si="47">IF(M262="","",O262+Q262)</f>
        <v/>
      </c>
    </row>
    <row r="263" spans="1:18">
      <c r="A263" s="58" t="str">
        <f t="shared" ref="A263:A326" si="48">IF(C263="","",A262+1)</f>
        <v/>
      </c>
      <c r="B263" s="58"/>
      <c r="C263" s="57"/>
      <c r="D263" s="58"/>
      <c r="E263" s="58"/>
      <c r="F263" s="58"/>
      <c r="G263" s="58"/>
      <c r="H263" s="58"/>
      <c r="I263" s="58"/>
      <c r="J263" s="58" t="str">
        <f t="shared" si="44"/>
        <v/>
      </c>
      <c r="K263" s="58" t="str">
        <f t="shared" si="45"/>
        <v/>
      </c>
      <c r="L263" s="59" t="str">
        <f>IF(C263="","",DATEDIF(C263,'Premium Table'!$B$6,"Y"))</f>
        <v/>
      </c>
      <c r="M263" s="59" t="str">
        <f t="shared" ref="M263:M326" si="49">IF(L263="","",IF(H263="","Choose Plan (DXB/AUH)",IF(H263="DXB",VLOOKUP(L263,$V$55:$W$154,2,FALSE),IF(H263="AUH",VLOOKUP(L263,$V$55:$X$154,3,FALSE),"Choose Plan (DXB/AUH)"))))</f>
        <v/>
      </c>
      <c r="N263" s="59" t="str">
        <f t="shared" si="46"/>
        <v/>
      </c>
      <c r="O263" s="102" t="str">
        <f t="shared" ref="O263:O326" si="50">IF(M263="","",VLOOKUP(N263,$V$5:$BB$17,K263,FALSE))</f>
        <v/>
      </c>
      <c r="P263" s="102" t="str">
        <f t="shared" ref="P263:P326" si="51">IF(L263="","",IF(H263="DXB",46,IF(H263="AUH",51,"")))</f>
        <v/>
      </c>
      <c r="Q263" s="68">
        <f t="shared" ref="Q263:Q326" si="52">IF(AND(LEFT(D263,1)="F",G263="Married",L263&gt;17,L263&lt;P263),HLOOKUP(E263,$W$1:$AA$2,2,FALSE),0)</f>
        <v>0</v>
      </c>
      <c r="R263" s="102" t="str">
        <f t="shared" si="47"/>
        <v/>
      </c>
    </row>
    <row r="264" spans="1:18">
      <c r="A264" s="58" t="str">
        <f t="shared" si="48"/>
        <v/>
      </c>
      <c r="B264" s="58"/>
      <c r="C264" s="57"/>
      <c r="D264" s="58"/>
      <c r="E264" s="58"/>
      <c r="F264" s="58"/>
      <c r="G264" s="58"/>
      <c r="H264" s="58"/>
      <c r="I264" s="58"/>
      <c r="J264" s="58" t="str">
        <f t="shared" si="44"/>
        <v/>
      </c>
      <c r="K264" s="58" t="str">
        <f t="shared" si="45"/>
        <v/>
      </c>
      <c r="L264" s="59" t="str">
        <f>IF(C264="","",DATEDIF(C264,'Premium Table'!$B$6,"Y"))</f>
        <v/>
      </c>
      <c r="M264" s="59" t="str">
        <f t="shared" si="49"/>
        <v/>
      </c>
      <c r="N264" s="59" t="str">
        <f t="shared" si="46"/>
        <v/>
      </c>
      <c r="O264" s="102" t="str">
        <f t="shared" si="50"/>
        <v/>
      </c>
      <c r="P264" s="102" t="str">
        <f t="shared" si="51"/>
        <v/>
      </c>
      <c r="Q264" s="68">
        <f t="shared" si="52"/>
        <v>0</v>
      </c>
      <c r="R264" s="102" t="str">
        <f t="shared" si="47"/>
        <v/>
      </c>
    </row>
    <row r="265" spans="1:18">
      <c r="A265" s="58" t="str">
        <f t="shared" si="48"/>
        <v/>
      </c>
      <c r="B265" s="58"/>
      <c r="C265" s="57"/>
      <c r="D265" s="58"/>
      <c r="E265" s="58"/>
      <c r="F265" s="58"/>
      <c r="G265" s="58"/>
      <c r="H265" s="58"/>
      <c r="I265" s="58"/>
      <c r="J265" s="58" t="str">
        <f t="shared" si="44"/>
        <v/>
      </c>
      <c r="K265" s="58" t="str">
        <f t="shared" si="45"/>
        <v/>
      </c>
      <c r="L265" s="59" t="str">
        <f>IF(C265="","",DATEDIF(C265,'Premium Table'!$B$6,"Y"))</f>
        <v/>
      </c>
      <c r="M265" s="59" t="str">
        <f t="shared" si="49"/>
        <v/>
      </c>
      <c r="N265" s="59" t="str">
        <f t="shared" si="46"/>
        <v/>
      </c>
      <c r="O265" s="102" t="str">
        <f t="shared" si="50"/>
        <v/>
      </c>
      <c r="P265" s="102" t="str">
        <f t="shared" si="51"/>
        <v/>
      </c>
      <c r="Q265" s="68">
        <f t="shared" si="52"/>
        <v>0</v>
      </c>
      <c r="R265" s="102" t="str">
        <f t="shared" si="47"/>
        <v/>
      </c>
    </row>
    <row r="266" spans="1:18">
      <c r="A266" s="58" t="str">
        <f t="shared" si="48"/>
        <v/>
      </c>
      <c r="B266" s="58"/>
      <c r="C266" s="57"/>
      <c r="D266" s="58"/>
      <c r="E266" s="58"/>
      <c r="F266" s="58"/>
      <c r="G266" s="58"/>
      <c r="H266" s="58"/>
      <c r="I266" s="58"/>
      <c r="J266" s="58" t="str">
        <f t="shared" si="44"/>
        <v/>
      </c>
      <c r="K266" s="58" t="str">
        <f t="shared" si="45"/>
        <v/>
      </c>
      <c r="L266" s="59" t="str">
        <f>IF(C266="","",DATEDIF(C266,'Premium Table'!$B$6,"Y"))</f>
        <v/>
      </c>
      <c r="M266" s="59" t="str">
        <f t="shared" si="49"/>
        <v/>
      </c>
      <c r="N266" s="59" t="str">
        <f t="shared" si="46"/>
        <v/>
      </c>
      <c r="O266" s="102" t="str">
        <f t="shared" si="50"/>
        <v/>
      </c>
      <c r="P266" s="102" t="str">
        <f t="shared" si="51"/>
        <v/>
      </c>
      <c r="Q266" s="68">
        <f t="shared" si="52"/>
        <v>0</v>
      </c>
      <c r="R266" s="102" t="str">
        <f t="shared" si="47"/>
        <v/>
      </c>
    </row>
    <row r="267" spans="1:18">
      <c r="A267" s="58" t="str">
        <f t="shared" si="48"/>
        <v/>
      </c>
      <c r="B267" s="58"/>
      <c r="C267" s="57"/>
      <c r="D267" s="58"/>
      <c r="E267" s="58"/>
      <c r="F267" s="58"/>
      <c r="G267" s="58"/>
      <c r="H267" s="58"/>
      <c r="I267" s="58"/>
      <c r="J267" s="58" t="str">
        <f t="shared" si="44"/>
        <v/>
      </c>
      <c r="K267" s="58" t="str">
        <f t="shared" si="45"/>
        <v/>
      </c>
      <c r="L267" s="59" t="str">
        <f>IF(C267="","",DATEDIF(C267,'Premium Table'!$B$6,"Y"))</f>
        <v/>
      </c>
      <c r="M267" s="59" t="str">
        <f t="shared" si="49"/>
        <v/>
      </c>
      <c r="N267" s="59" t="str">
        <f t="shared" si="46"/>
        <v/>
      </c>
      <c r="O267" s="102" t="str">
        <f t="shared" si="50"/>
        <v/>
      </c>
      <c r="P267" s="102" t="str">
        <f t="shared" si="51"/>
        <v/>
      </c>
      <c r="Q267" s="68">
        <f t="shared" si="52"/>
        <v>0</v>
      </c>
      <c r="R267" s="102" t="str">
        <f t="shared" si="47"/>
        <v/>
      </c>
    </row>
    <row r="268" spans="1:18">
      <c r="A268" s="58" t="str">
        <f t="shared" si="48"/>
        <v/>
      </c>
      <c r="B268" s="58"/>
      <c r="C268" s="57"/>
      <c r="D268" s="58"/>
      <c r="E268" s="58"/>
      <c r="F268" s="58"/>
      <c r="G268" s="58"/>
      <c r="H268" s="58"/>
      <c r="I268" s="58"/>
      <c r="J268" s="58" t="str">
        <f t="shared" si="44"/>
        <v/>
      </c>
      <c r="K268" s="58" t="str">
        <f t="shared" si="45"/>
        <v/>
      </c>
      <c r="L268" s="59" t="str">
        <f>IF(C268="","",DATEDIF(C268,'Premium Table'!$B$6,"Y"))</f>
        <v/>
      </c>
      <c r="M268" s="59" t="str">
        <f t="shared" si="49"/>
        <v/>
      </c>
      <c r="N268" s="59" t="str">
        <f t="shared" si="46"/>
        <v/>
      </c>
      <c r="O268" s="102" t="str">
        <f t="shared" si="50"/>
        <v/>
      </c>
      <c r="P268" s="102" t="str">
        <f t="shared" si="51"/>
        <v/>
      </c>
      <c r="Q268" s="68">
        <f t="shared" si="52"/>
        <v>0</v>
      </c>
      <c r="R268" s="102" t="str">
        <f t="shared" si="47"/>
        <v/>
      </c>
    </row>
    <row r="269" spans="1:18">
      <c r="A269" s="58" t="str">
        <f t="shared" si="48"/>
        <v/>
      </c>
      <c r="B269" s="58"/>
      <c r="C269" s="57"/>
      <c r="D269" s="58"/>
      <c r="E269" s="58"/>
      <c r="F269" s="58"/>
      <c r="G269" s="58"/>
      <c r="H269" s="58"/>
      <c r="I269" s="58"/>
      <c r="J269" s="58" t="str">
        <f t="shared" si="44"/>
        <v/>
      </c>
      <c r="K269" s="58" t="str">
        <f t="shared" si="45"/>
        <v/>
      </c>
      <c r="L269" s="59" t="str">
        <f>IF(C269="","",DATEDIF(C269,'Premium Table'!$B$6,"Y"))</f>
        <v/>
      </c>
      <c r="M269" s="59" t="str">
        <f t="shared" si="49"/>
        <v/>
      </c>
      <c r="N269" s="59" t="str">
        <f t="shared" si="46"/>
        <v/>
      </c>
      <c r="O269" s="102" t="str">
        <f t="shared" si="50"/>
        <v/>
      </c>
      <c r="P269" s="102" t="str">
        <f t="shared" si="51"/>
        <v/>
      </c>
      <c r="Q269" s="68">
        <f t="shared" si="52"/>
        <v>0</v>
      </c>
      <c r="R269" s="102" t="str">
        <f t="shared" si="47"/>
        <v/>
      </c>
    </row>
    <row r="270" spans="1:18">
      <c r="A270" s="58" t="str">
        <f t="shared" si="48"/>
        <v/>
      </c>
      <c r="B270" s="58"/>
      <c r="C270" s="57"/>
      <c r="D270" s="58"/>
      <c r="E270" s="58"/>
      <c r="F270" s="58"/>
      <c r="G270" s="58"/>
      <c r="H270" s="58"/>
      <c r="I270" s="58"/>
      <c r="J270" s="58" t="str">
        <f t="shared" si="44"/>
        <v/>
      </c>
      <c r="K270" s="58" t="str">
        <f t="shared" si="45"/>
        <v/>
      </c>
      <c r="L270" s="59" t="str">
        <f>IF(C270="","",DATEDIF(C270,'Premium Table'!$B$6,"Y"))</f>
        <v/>
      </c>
      <c r="M270" s="59" t="str">
        <f t="shared" si="49"/>
        <v/>
      </c>
      <c r="N270" s="59" t="str">
        <f t="shared" si="46"/>
        <v/>
      </c>
      <c r="O270" s="102" t="str">
        <f t="shared" si="50"/>
        <v/>
      </c>
      <c r="P270" s="102" t="str">
        <f t="shared" si="51"/>
        <v/>
      </c>
      <c r="Q270" s="68">
        <f t="shared" si="52"/>
        <v>0</v>
      </c>
      <c r="R270" s="102" t="str">
        <f t="shared" si="47"/>
        <v/>
      </c>
    </row>
    <row r="271" spans="1:18">
      <c r="A271" s="58" t="str">
        <f t="shared" si="48"/>
        <v/>
      </c>
      <c r="B271" s="58"/>
      <c r="C271" s="57"/>
      <c r="D271" s="58"/>
      <c r="E271" s="58"/>
      <c r="F271" s="58"/>
      <c r="G271" s="58"/>
      <c r="H271" s="58"/>
      <c r="I271" s="58"/>
      <c r="J271" s="58" t="str">
        <f t="shared" si="44"/>
        <v/>
      </c>
      <c r="K271" s="58" t="str">
        <f t="shared" si="45"/>
        <v/>
      </c>
      <c r="L271" s="59" t="str">
        <f>IF(C271="","",DATEDIF(C271,'Premium Table'!$B$6,"Y"))</f>
        <v/>
      </c>
      <c r="M271" s="59" t="str">
        <f t="shared" si="49"/>
        <v/>
      </c>
      <c r="N271" s="59" t="str">
        <f t="shared" si="46"/>
        <v/>
      </c>
      <c r="O271" s="102" t="str">
        <f t="shared" si="50"/>
        <v/>
      </c>
      <c r="P271" s="102" t="str">
        <f t="shared" si="51"/>
        <v/>
      </c>
      <c r="Q271" s="68">
        <f t="shared" si="52"/>
        <v>0</v>
      </c>
      <c r="R271" s="102" t="str">
        <f t="shared" si="47"/>
        <v/>
      </c>
    </row>
    <row r="272" spans="1:18">
      <c r="A272" s="58" t="str">
        <f t="shared" si="48"/>
        <v/>
      </c>
      <c r="B272" s="58"/>
      <c r="C272" s="57"/>
      <c r="D272" s="58"/>
      <c r="E272" s="58"/>
      <c r="F272" s="58"/>
      <c r="G272" s="58"/>
      <c r="H272" s="58"/>
      <c r="I272" s="58"/>
      <c r="J272" s="58" t="str">
        <f t="shared" si="44"/>
        <v/>
      </c>
      <c r="K272" s="58" t="str">
        <f t="shared" si="45"/>
        <v/>
      </c>
      <c r="L272" s="59" t="str">
        <f>IF(C272="","",DATEDIF(C272,'Premium Table'!$B$6,"Y"))</f>
        <v/>
      </c>
      <c r="M272" s="59" t="str">
        <f t="shared" si="49"/>
        <v/>
      </c>
      <c r="N272" s="59" t="str">
        <f t="shared" si="46"/>
        <v/>
      </c>
      <c r="O272" s="102" t="str">
        <f t="shared" si="50"/>
        <v/>
      </c>
      <c r="P272" s="102" t="str">
        <f t="shared" si="51"/>
        <v/>
      </c>
      <c r="Q272" s="68">
        <f t="shared" si="52"/>
        <v>0</v>
      </c>
      <c r="R272" s="102" t="str">
        <f t="shared" si="47"/>
        <v/>
      </c>
    </row>
    <row r="273" spans="1:18">
      <c r="A273" s="58" t="str">
        <f t="shared" si="48"/>
        <v/>
      </c>
      <c r="B273" s="58"/>
      <c r="C273" s="57"/>
      <c r="D273" s="58"/>
      <c r="E273" s="58"/>
      <c r="F273" s="58"/>
      <c r="G273" s="58"/>
      <c r="H273" s="58"/>
      <c r="I273" s="58"/>
      <c r="J273" s="58" t="str">
        <f t="shared" si="44"/>
        <v/>
      </c>
      <c r="K273" s="58" t="str">
        <f t="shared" si="45"/>
        <v/>
      </c>
      <c r="L273" s="59" t="str">
        <f>IF(C273="","",DATEDIF(C273,'Premium Table'!$B$6,"Y"))</f>
        <v/>
      </c>
      <c r="M273" s="59" t="str">
        <f t="shared" si="49"/>
        <v/>
      </c>
      <c r="N273" s="59" t="str">
        <f t="shared" si="46"/>
        <v/>
      </c>
      <c r="O273" s="102" t="str">
        <f t="shared" si="50"/>
        <v/>
      </c>
      <c r="P273" s="102" t="str">
        <f t="shared" si="51"/>
        <v/>
      </c>
      <c r="Q273" s="68">
        <f t="shared" si="52"/>
        <v>0</v>
      </c>
      <c r="R273" s="102" t="str">
        <f t="shared" si="47"/>
        <v/>
      </c>
    </row>
    <row r="274" spans="1:18">
      <c r="A274" s="58" t="str">
        <f t="shared" si="48"/>
        <v/>
      </c>
      <c r="B274" s="58"/>
      <c r="C274" s="57"/>
      <c r="D274" s="58"/>
      <c r="E274" s="58"/>
      <c r="F274" s="58"/>
      <c r="G274" s="58"/>
      <c r="H274" s="58"/>
      <c r="I274" s="58"/>
      <c r="J274" s="58" t="str">
        <f t="shared" si="44"/>
        <v/>
      </c>
      <c r="K274" s="58" t="str">
        <f t="shared" si="45"/>
        <v/>
      </c>
      <c r="L274" s="59" t="str">
        <f>IF(C274="","",DATEDIF(C274,'Premium Table'!$B$6,"Y"))</f>
        <v/>
      </c>
      <c r="M274" s="59" t="str">
        <f t="shared" si="49"/>
        <v/>
      </c>
      <c r="N274" s="59" t="str">
        <f t="shared" si="46"/>
        <v/>
      </c>
      <c r="O274" s="102" t="str">
        <f t="shared" si="50"/>
        <v/>
      </c>
      <c r="P274" s="102" t="str">
        <f t="shared" si="51"/>
        <v/>
      </c>
      <c r="Q274" s="68">
        <f t="shared" si="52"/>
        <v>0</v>
      </c>
      <c r="R274" s="102" t="str">
        <f t="shared" si="47"/>
        <v/>
      </c>
    </row>
    <row r="275" spans="1:18">
      <c r="A275" s="58" t="str">
        <f t="shared" si="48"/>
        <v/>
      </c>
      <c r="B275" s="58"/>
      <c r="C275" s="57"/>
      <c r="D275" s="58"/>
      <c r="E275" s="58"/>
      <c r="F275" s="58"/>
      <c r="G275" s="58"/>
      <c r="H275" s="58"/>
      <c r="I275" s="58"/>
      <c r="J275" s="58" t="str">
        <f t="shared" si="44"/>
        <v/>
      </c>
      <c r="K275" s="58" t="str">
        <f t="shared" si="45"/>
        <v/>
      </c>
      <c r="L275" s="59" t="str">
        <f>IF(C275="","",DATEDIF(C275,'Premium Table'!$B$6,"Y"))</f>
        <v/>
      </c>
      <c r="M275" s="59" t="str">
        <f t="shared" si="49"/>
        <v/>
      </c>
      <c r="N275" s="59" t="str">
        <f t="shared" si="46"/>
        <v/>
      </c>
      <c r="O275" s="102" t="str">
        <f t="shared" si="50"/>
        <v/>
      </c>
      <c r="P275" s="102" t="str">
        <f t="shared" si="51"/>
        <v/>
      </c>
      <c r="Q275" s="68">
        <f t="shared" si="52"/>
        <v>0</v>
      </c>
      <c r="R275" s="102" t="str">
        <f t="shared" si="47"/>
        <v/>
      </c>
    </row>
    <row r="276" spans="1:18">
      <c r="A276" s="58" t="str">
        <f t="shared" si="48"/>
        <v/>
      </c>
      <c r="B276" s="58"/>
      <c r="C276" s="57"/>
      <c r="D276" s="58"/>
      <c r="E276" s="58"/>
      <c r="F276" s="58"/>
      <c r="G276" s="58"/>
      <c r="H276" s="58"/>
      <c r="I276" s="58"/>
      <c r="J276" s="58" t="str">
        <f t="shared" si="44"/>
        <v/>
      </c>
      <c r="K276" s="58" t="str">
        <f t="shared" si="45"/>
        <v/>
      </c>
      <c r="L276" s="59" t="str">
        <f>IF(C276="","",DATEDIF(C276,'Premium Table'!$B$6,"Y"))</f>
        <v/>
      </c>
      <c r="M276" s="59" t="str">
        <f t="shared" si="49"/>
        <v/>
      </c>
      <c r="N276" s="59" t="str">
        <f t="shared" si="46"/>
        <v/>
      </c>
      <c r="O276" s="102" t="str">
        <f t="shared" si="50"/>
        <v/>
      </c>
      <c r="P276" s="102" t="str">
        <f t="shared" si="51"/>
        <v/>
      </c>
      <c r="Q276" s="68">
        <f t="shared" si="52"/>
        <v>0</v>
      </c>
      <c r="R276" s="102" t="str">
        <f t="shared" si="47"/>
        <v/>
      </c>
    </row>
    <row r="277" spans="1:18">
      <c r="A277" s="58" t="str">
        <f t="shared" si="48"/>
        <v/>
      </c>
      <c r="B277" s="58"/>
      <c r="C277" s="57"/>
      <c r="D277" s="58"/>
      <c r="E277" s="58"/>
      <c r="F277" s="58"/>
      <c r="G277" s="58"/>
      <c r="H277" s="58"/>
      <c r="I277" s="58"/>
      <c r="J277" s="58" t="str">
        <f t="shared" si="44"/>
        <v/>
      </c>
      <c r="K277" s="58" t="str">
        <f t="shared" si="45"/>
        <v/>
      </c>
      <c r="L277" s="59" t="str">
        <f>IF(C277="","",DATEDIF(C277,'Premium Table'!$B$6,"Y"))</f>
        <v/>
      </c>
      <c r="M277" s="59" t="str">
        <f t="shared" si="49"/>
        <v/>
      </c>
      <c r="N277" s="59" t="str">
        <f t="shared" si="46"/>
        <v/>
      </c>
      <c r="O277" s="102" t="str">
        <f t="shared" si="50"/>
        <v/>
      </c>
      <c r="P277" s="102" t="str">
        <f t="shared" si="51"/>
        <v/>
      </c>
      <c r="Q277" s="68">
        <f t="shared" si="52"/>
        <v>0</v>
      </c>
      <c r="R277" s="102" t="str">
        <f t="shared" si="47"/>
        <v/>
      </c>
    </row>
    <row r="278" spans="1:18">
      <c r="A278" s="58" t="str">
        <f t="shared" si="48"/>
        <v/>
      </c>
      <c r="B278" s="58"/>
      <c r="C278" s="57"/>
      <c r="D278" s="58"/>
      <c r="E278" s="58"/>
      <c r="F278" s="58"/>
      <c r="G278" s="58"/>
      <c r="H278" s="58"/>
      <c r="I278" s="58"/>
      <c r="J278" s="58" t="str">
        <f t="shared" si="44"/>
        <v/>
      </c>
      <c r="K278" s="58" t="str">
        <f t="shared" si="45"/>
        <v/>
      </c>
      <c r="L278" s="59" t="str">
        <f>IF(C278="","",DATEDIF(C278,'Premium Table'!$B$6,"Y"))</f>
        <v/>
      </c>
      <c r="M278" s="59" t="str">
        <f t="shared" si="49"/>
        <v/>
      </c>
      <c r="N278" s="59" t="str">
        <f t="shared" si="46"/>
        <v/>
      </c>
      <c r="O278" s="102" t="str">
        <f t="shared" si="50"/>
        <v/>
      </c>
      <c r="P278" s="102" t="str">
        <f t="shared" si="51"/>
        <v/>
      </c>
      <c r="Q278" s="68">
        <f t="shared" si="52"/>
        <v>0</v>
      </c>
      <c r="R278" s="102" t="str">
        <f t="shared" si="47"/>
        <v/>
      </c>
    </row>
    <row r="279" spans="1:18">
      <c r="A279" s="58" t="str">
        <f t="shared" si="48"/>
        <v/>
      </c>
      <c r="B279" s="58"/>
      <c r="C279" s="57"/>
      <c r="D279" s="58"/>
      <c r="E279" s="58"/>
      <c r="F279" s="58"/>
      <c r="G279" s="58"/>
      <c r="H279" s="58"/>
      <c r="I279" s="58"/>
      <c r="J279" s="58" t="str">
        <f t="shared" si="44"/>
        <v/>
      </c>
      <c r="K279" s="58" t="str">
        <f t="shared" si="45"/>
        <v/>
      </c>
      <c r="L279" s="59" t="str">
        <f>IF(C279="","",DATEDIF(C279,'Premium Table'!$B$6,"Y"))</f>
        <v/>
      </c>
      <c r="M279" s="59" t="str">
        <f t="shared" si="49"/>
        <v/>
      </c>
      <c r="N279" s="59" t="str">
        <f t="shared" si="46"/>
        <v/>
      </c>
      <c r="O279" s="102" t="str">
        <f t="shared" si="50"/>
        <v/>
      </c>
      <c r="P279" s="102" t="str">
        <f t="shared" si="51"/>
        <v/>
      </c>
      <c r="Q279" s="68">
        <f t="shared" si="52"/>
        <v>0</v>
      </c>
      <c r="R279" s="102" t="str">
        <f t="shared" si="47"/>
        <v/>
      </c>
    </row>
    <row r="280" spans="1:18">
      <c r="A280" s="58" t="str">
        <f t="shared" si="48"/>
        <v/>
      </c>
      <c r="B280" s="58"/>
      <c r="C280" s="57"/>
      <c r="D280" s="58"/>
      <c r="E280" s="58"/>
      <c r="F280" s="58"/>
      <c r="G280" s="58"/>
      <c r="H280" s="58"/>
      <c r="I280" s="58"/>
      <c r="J280" s="58" t="str">
        <f t="shared" si="44"/>
        <v/>
      </c>
      <c r="K280" s="58" t="str">
        <f t="shared" si="45"/>
        <v/>
      </c>
      <c r="L280" s="59" t="str">
        <f>IF(C280="","",DATEDIF(C280,'Premium Table'!$B$6,"Y"))</f>
        <v/>
      </c>
      <c r="M280" s="59" t="str">
        <f t="shared" si="49"/>
        <v/>
      </c>
      <c r="N280" s="59" t="str">
        <f t="shared" si="46"/>
        <v/>
      </c>
      <c r="O280" s="102" t="str">
        <f t="shared" si="50"/>
        <v/>
      </c>
      <c r="P280" s="102" t="str">
        <f t="shared" si="51"/>
        <v/>
      </c>
      <c r="Q280" s="68">
        <f t="shared" si="52"/>
        <v>0</v>
      </c>
      <c r="R280" s="102" t="str">
        <f t="shared" si="47"/>
        <v/>
      </c>
    </row>
    <row r="281" spans="1:18">
      <c r="A281" s="58" t="str">
        <f t="shared" si="48"/>
        <v/>
      </c>
      <c r="B281" s="58"/>
      <c r="C281" s="57"/>
      <c r="D281" s="58"/>
      <c r="E281" s="58"/>
      <c r="F281" s="58"/>
      <c r="G281" s="58"/>
      <c r="H281" s="58"/>
      <c r="I281" s="58"/>
      <c r="J281" s="58" t="str">
        <f t="shared" si="44"/>
        <v/>
      </c>
      <c r="K281" s="58" t="str">
        <f t="shared" si="45"/>
        <v/>
      </c>
      <c r="L281" s="59" t="str">
        <f>IF(C281="","",DATEDIF(C281,'Premium Table'!$B$6,"Y"))</f>
        <v/>
      </c>
      <c r="M281" s="59" t="str">
        <f t="shared" si="49"/>
        <v/>
      </c>
      <c r="N281" s="59" t="str">
        <f t="shared" si="46"/>
        <v/>
      </c>
      <c r="O281" s="102" t="str">
        <f t="shared" si="50"/>
        <v/>
      </c>
      <c r="P281" s="102" t="str">
        <f t="shared" si="51"/>
        <v/>
      </c>
      <c r="Q281" s="68">
        <f t="shared" si="52"/>
        <v>0</v>
      </c>
      <c r="R281" s="102" t="str">
        <f t="shared" si="47"/>
        <v/>
      </c>
    </row>
    <row r="282" spans="1:18">
      <c r="A282" s="58" t="str">
        <f t="shared" si="48"/>
        <v/>
      </c>
      <c r="B282" s="58"/>
      <c r="C282" s="57"/>
      <c r="D282" s="58"/>
      <c r="E282" s="58"/>
      <c r="F282" s="58"/>
      <c r="G282" s="58"/>
      <c r="H282" s="58"/>
      <c r="I282" s="58"/>
      <c r="J282" s="58" t="str">
        <f t="shared" si="44"/>
        <v/>
      </c>
      <c r="K282" s="58" t="str">
        <f t="shared" si="45"/>
        <v/>
      </c>
      <c r="L282" s="59" t="str">
        <f>IF(C282="","",DATEDIF(C282,'Premium Table'!$B$6,"Y"))</f>
        <v/>
      </c>
      <c r="M282" s="59" t="str">
        <f t="shared" si="49"/>
        <v/>
      </c>
      <c r="N282" s="59" t="str">
        <f t="shared" si="46"/>
        <v/>
      </c>
      <c r="O282" s="102" t="str">
        <f t="shared" si="50"/>
        <v/>
      </c>
      <c r="P282" s="102" t="str">
        <f t="shared" si="51"/>
        <v/>
      </c>
      <c r="Q282" s="68">
        <f t="shared" si="52"/>
        <v>0</v>
      </c>
      <c r="R282" s="102" t="str">
        <f t="shared" si="47"/>
        <v/>
      </c>
    </row>
    <row r="283" spans="1:18">
      <c r="A283" s="58" t="str">
        <f t="shared" si="48"/>
        <v/>
      </c>
      <c r="B283" s="58"/>
      <c r="C283" s="57"/>
      <c r="D283" s="58"/>
      <c r="E283" s="58"/>
      <c r="F283" s="58"/>
      <c r="G283" s="58"/>
      <c r="H283" s="58"/>
      <c r="I283" s="58"/>
      <c r="J283" s="58" t="str">
        <f t="shared" si="44"/>
        <v/>
      </c>
      <c r="K283" s="58" t="str">
        <f t="shared" si="45"/>
        <v/>
      </c>
      <c r="L283" s="59" t="str">
        <f>IF(C283="","",DATEDIF(C283,'Premium Table'!$B$6,"Y"))</f>
        <v/>
      </c>
      <c r="M283" s="59" t="str">
        <f t="shared" si="49"/>
        <v/>
      </c>
      <c r="N283" s="59" t="str">
        <f t="shared" si="46"/>
        <v/>
      </c>
      <c r="O283" s="102" t="str">
        <f t="shared" si="50"/>
        <v/>
      </c>
      <c r="P283" s="102" t="str">
        <f t="shared" si="51"/>
        <v/>
      </c>
      <c r="Q283" s="68">
        <f t="shared" si="52"/>
        <v>0</v>
      </c>
      <c r="R283" s="102" t="str">
        <f t="shared" si="47"/>
        <v/>
      </c>
    </row>
    <row r="284" spans="1:18">
      <c r="A284" s="58" t="str">
        <f t="shared" si="48"/>
        <v/>
      </c>
      <c r="B284" s="58"/>
      <c r="C284" s="57"/>
      <c r="D284" s="58"/>
      <c r="E284" s="58"/>
      <c r="F284" s="58"/>
      <c r="G284" s="58"/>
      <c r="H284" s="58"/>
      <c r="I284" s="58"/>
      <c r="J284" s="58" t="str">
        <f t="shared" si="44"/>
        <v/>
      </c>
      <c r="K284" s="58" t="str">
        <f t="shared" si="45"/>
        <v/>
      </c>
      <c r="L284" s="59" t="str">
        <f>IF(C284="","",DATEDIF(C284,'Premium Table'!$B$6,"Y"))</f>
        <v/>
      </c>
      <c r="M284" s="59" t="str">
        <f t="shared" si="49"/>
        <v/>
      </c>
      <c r="N284" s="59" t="str">
        <f t="shared" si="46"/>
        <v/>
      </c>
      <c r="O284" s="102" t="str">
        <f t="shared" si="50"/>
        <v/>
      </c>
      <c r="P284" s="102" t="str">
        <f t="shared" si="51"/>
        <v/>
      </c>
      <c r="Q284" s="68">
        <f t="shared" si="52"/>
        <v>0</v>
      </c>
      <c r="R284" s="102" t="str">
        <f t="shared" si="47"/>
        <v/>
      </c>
    </row>
    <row r="285" spans="1:18">
      <c r="A285" s="58" t="str">
        <f t="shared" si="48"/>
        <v/>
      </c>
      <c r="B285" s="58"/>
      <c r="C285" s="57"/>
      <c r="D285" s="58"/>
      <c r="E285" s="58"/>
      <c r="F285" s="58"/>
      <c r="G285" s="58"/>
      <c r="H285" s="58"/>
      <c r="I285" s="58"/>
      <c r="J285" s="58" t="str">
        <f t="shared" si="44"/>
        <v/>
      </c>
      <c r="K285" s="58" t="str">
        <f t="shared" si="45"/>
        <v/>
      </c>
      <c r="L285" s="59" t="str">
        <f>IF(C285="","",DATEDIF(C285,'Premium Table'!$B$6,"Y"))</f>
        <v/>
      </c>
      <c r="M285" s="59" t="str">
        <f t="shared" si="49"/>
        <v/>
      </c>
      <c r="N285" s="59" t="str">
        <f t="shared" si="46"/>
        <v/>
      </c>
      <c r="O285" s="102" t="str">
        <f t="shared" si="50"/>
        <v/>
      </c>
      <c r="P285" s="102" t="str">
        <f t="shared" si="51"/>
        <v/>
      </c>
      <c r="Q285" s="68">
        <f t="shared" si="52"/>
        <v>0</v>
      </c>
      <c r="R285" s="102" t="str">
        <f t="shared" si="47"/>
        <v/>
      </c>
    </row>
    <row r="286" spans="1:18">
      <c r="A286" s="58" t="str">
        <f t="shared" si="48"/>
        <v/>
      </c>
      <c r="B286" s="58"/>
      <c r="C286" s="57"/>
      <c r="D286" s="58"/>
      <c r="E286" s="58"/>
      <c r="F286" s="58"/>
      <c r="G286" s="58"/>
      <c r="H286" s="58"/>
      <c r="I286" s="58"/>
      <c r="J286" s="58" t="str">
        <f t="shared" si="44"/>
        <v/>
      </c>
      <c r="K286" s="58" t="str">
        <f t="shared" si="45"/>
        <v/>
      </c>
      <c r="L286" s="59" t="str">
        <f>IF(C286="","",DATEDIF(C286,'Premium Table'!$B$6,"Y"))</f>
        <v/>
      </c>
      <c r="M286" s="59" t="str">
        <f t="shared" si="49"/>
        <v/>
      </c>
      <c r="N286" s="59" t="str">
        <f t="shared" si="46"/>
        <v/>
      </c>
      <c r="O286" s="102" t="str">
        <f t="shared" si="50"/>
        <v/>
      </c>
      <c r="P286" s="102" t="str">
        <f t="shared" si="51"/>
        <v/>
      </c>
      <c r="Q286" s="68">
        <f t="shared" si="52"/>
        <v>0</v>
      </c>
      <c r="R286" s="102" t="str">
        <f t="shared" si="47"/>
        <v/>
      </c>
    </row>
    <row r="287" spans="1:18">
      <c r="A287" s="58" t="str">
        <f t="shared" si="48"/>
        <v/>
      </c>
      <c r="B287" s="58"/>
      <c r="C287" s="57"/>
      <c r="D287" s="58"/>
      <c r="E287" s="58"/>
      <c r="F287" s="58"/>
      <c r="G287" s="58"/>
      <c r="H287" s="58"/>
      <c r="I287" s="58"/>
      <c r="J287" s="58" t="str">
        <f t="shared" si="44"/>
        <v/>
      </c>
      <c r="K287" s="58" t="str">
        <f t="shared" si="45"/>
        <v/>
      </c>
      <c r="L287" s="59" t="str">
        <f>IF(C287="","",DATEDIF(C287,'Premium Table'!$B$6,"Y"))</f>
        <v/>
      </c>
      <c r="M287" s="59" t="str">
        <f t="shared" si="49"/>
        <v/>
      </c>
      <c r="N287" s="59" t="str">
        <f t="shared" si="46"/>
        <v/>
      </c>
      <c r="O287" s="102" t="str">
        <f t="shared" si="50"/>
        <v/>
      </c>
      <c r="P287" s="102" t="str">
        <f t="shared" si="51"/>
        <v/>
      </c>
      <c r="Q287" s="68">
        <f t="shared" si="52"/>
        <v>0</v>
      </c>
      <c r="R287" s="102" t="str">
        <f t="shared" si="47"/>
        <v/>
      </c>
    </row>
    <row r="288" spans="1:18">
      <c r="A288" s="58" t="str">
        <f t="shared" si="48"/>
        <v/>
      </c>
      <c r="B288" s="58"/>
      <c r="C288" s="57"/>
      <c r="D288" s="58"/>
      <c r="E288" s="58"/>
      <c r="F288" s="58"/>
      <c r="G288" s="58"/>
      <c r="H288" s="58"/>
      <c r="I288" s="58"/>
      <c r="J288" s="58" t="str">
        <f t="shared" si="44"/>
        <v/>
      </c>
      <c r="K288" s="58" t="str">
        <f t="shared" si="45"/>
        <v/>
      </c>
      <c r="L288" s="59" t="str">
        <f>IF(C288="","",DATEDIF(C288,'Premium Table'!$B$6,"Y"))</f>
        <v/>
      </c>
      <c r="M288" s="59" t="str">
        <f t="shared" si="49"/>
        <v/>
      </c>
      <c r="N288" s="59" t="str">
        <f t="shared" si="46"/>
        <v/>
      </c>
      <c r="O288" s="102" t="str">
        <f t="shared" si="50"/>
        <v/>
      </c>
      <c r="P288" s="102" t="str">
        <f t="shared" si="51"/>
        <v/>
      </c>
      <c r="Q288" s="68">
        <f t="shared" si="52"/>
        <v>0</v>
      </c>
      <c r="R288" s="102" t="str">
        <f t="shared" si="47"/>
        <v/>
      </c>
    </row>
    <row r="289" spans="1:18">
      <c r="A289" s="58" t="str">
        <f t="shared" si="48"/>
        <v/>
      </c>
      <c r="B289" s="58"/>
      <c r="C289" s="57"/>
      <c r="D289" s="58"/>
      <c r="E289" s="58"/>
      <c r="F289" s="58"/>
      <c r="G289" s="58"/>
      <c r="H289" s="58"/>
      <c r="I289" s="58"/>
      <c r="J289" s="58" t="str">
        <f t="shared" si="44"/>
        <v/>
      </c>
      <c r="K289" s="58" t="str">
        <f t="shared" si="45"/>
        <v/>
      </c>
      <c r="L289" s="59" t="str">
        <f>IF(C289="","",DATEDIF(C289,'Premium Table'!$B$6,"Y"))</f>
        <v/>
      </c>
      <c r="M289" s="59" t="str">
        <f t="shared" si="49"/>
        <v/>
      </c>
      <c r="N289" s="59" t="str">
        <f t="shared" si="46"/>
        <v/>
      </c>
      <c r="O289" s="102" t="str">
        <f t="shared" si="50"/>
        <v/>
      </c>
      <c r="P289" s="102" t="str">
        <f t="shared" si="51"/>
        <v/>
      </c>
      <c r="Q289" s="68">
        <f t="shared" si="52"/>
        <v>0</v>
      </c>
      <c r="R289" s="102" t="str">
        <f t="shared" si="47"/>
        <v/>
      </c>
    </row>
    <row r="290" spans="1:18">
      <c r="A290" s="58" t="str">
        <f t="shared" si="48"/>
        <v/>
      </c>
      <c r="B290" s="58"/>
      <c r="C290" s="57"/>
      <c r="D290" s="58"/>
      <c r="E290" s="58"/>
      <c r="F290" s="58"/>
      <c r="G290" s="58"/>
      <c r="H290" s="58"/>
      <c r="I290" s="58"/>
      <c r="J290" s="58" t="str">
        <f t="shared" si="44"/>
        <v/>
      </c>
      <c r="K290" s="58" t="str">
        <f t="shared" si="45"/>
        <v/>
      </c>
      <c r="L290" s="59" t="str">
        <f>IF(C290="","",DATEDIF(C290,'Premium Table'!$B$6,"Y"))</f>
        <v/>
      </c>
      <c r="M290" s="59" t="str">
        <f t="shared" si="49"/>
        <v/>
      </c>
      <c r="N290" s="59" t="str">
        <f t="shared" si="46"/>
        <v/>
      </c>
      <c r="O290" s="102" t="str">
        <f t="shared" si="50"/>
        <v/>
      </c>
      <c r="P290" s="102" t="str">
        <f t="shared" si="51"/>
        <v/>
      </c>
      <c r="Q290" s="68">
        <f t="shared" si="52"/>
        <v>0</v>
      </c>
      <c r="R290" s="102" t="str">
        <f t="shared" si="47"/>
        <v/>
      </c>
    </row>
    <row r="291" spans="1:18">
      <c r="A291" s="58" t="str">
        <f t="shared" si="48"/>
        <v/>
      </c>
      <c r="B291" s="58"/>
      <c r="C291" s="57"/>
      <c r="D291" s="58"/>
      <c r="E291" s="58"/>
      <c r="F291" s="58"/>
      <c r="G291" s="58"/>
      <c r="H291" s="58"/>
      <c r="I291" s="58"/>
      <c r="J291" s="58" t="str">
        <f t="shared" si="44"/>
        <v/>
      </c>
      <c r="K291" s="58" t="str">
        <f t="shared" si="45"/>
        <v/>
      </c>
      <c r="L291" s="59" t="str">
        <f>IF(C291="","",DATEDIF(C291,'Premium Table'!$B$6,"Y"))</f>
        <v/>
      </c>
      <c r="M291" s="59" t="str">
        <f t="shared" si="49"/>
        <v/>
      </c>
      <c r="N291" s="59" t="str">
        <f t="shared" si="46"/>
        <v/>
      </c>
      <c r="O291" s="102" t="str">
        <f t="shared" si="50"/>
        <v/>
      </c>
      <c r="P291" s="102" t="str">
        <f t="shared" si="51"/>
        <v/>
      </c>
      <c r="Q291" s="68">
        <f t="shared" si="52"/>
        <v>0</v>
      </c>
      <c r="R291" s="102" t="str">
        <f t="shared" si="47"/>
        <v/>
      </c>
    </row>
    <row r="292" spans="1:18">
      <c r="A292" s="58" t="str">
        <f t="shared" si="48"/>
        <v/>
      </c>
      <c r="B292" s="58"/>
      <c r="C292" s="57"/>
      <c r="D292" s="58"/>
      <c r="E292" s="58"/>
      <c r="F292" s="58"/>
      <c r="G292" s="58"/>
      <c r="H292" s="58"/>
      <c r="I292" s="58"/>
      <c r="J292" s="58" t="str">
        <f t="shared" si="44"/>
        <v/>
      </c>
      <c r="K292" s="58" t="str">
        <f t="shared" si="45"/>
        <v/>
      </c>
      <c r="L292" s="59" t="str">
        <f>IF(C292="","",DATEDIF(C292,'Premium Table'!$B$6,"Y"))</f>
        <v/>
      </c>
      <c r="M292" s="59" t="str">
        <f t="shared" si="49"/>
        <v/>
      </c>
      <c r="N292" s="59" t="str">
        <f t="shared" si="46"/>
        <v/>
      </c>
      <c r="O292" s="102" t="str">
        <f t="shared" si="50"/>
        <v/>
      </c>
      <c r="P292" s="102" t="str">
        <f t="shared" si="51"/>
        <v/>
      </c>
      <c r="Q292" s="68">
        <f t="shared" si="52"/>
        <v>0</v>
      </c>
      <c r="R292" s="102" t="str">
        <f t="shared" si="47"/>
        <v/>
      </c>
    </row>
    <row r="293" spans="1:18">
      <c r="A293" s="58" t="str">
        <f t="shared" si="48"/>
        <v/>
      </c>
      <c r="B293" s="58"/>
      <c r="C293" s="57"/>
      <c r="D293" s="58"/>
      <c r="E293" s="58"/>
      <c r="F293" s="58"/>
      <c r="G293" s="58"/>
      <c r="H293" s="58"/>
      <c r="I293" s="58"/>
      <c r="J293" s="58" t="str">
        <f t="shared" si="44"/>
        <v/>
      </c>
      <c r="K293" s="58" t="str">
        <f t="shared" si="45"/>
        <v/>
      </c>
      <c r="L293" s="59" t="str">
        <f>IF(C293="","",DATEDIF(C293,'Premium Table'!$B$6,"Y"))</f>
        <v/>
      </c>
      <c r="M293" s="59" t="str">
        <f t="shared" si="49"/>
        <v/>
      </c>
      <c r="N293" s="59" t="str">
        <f t="shared" si="46"/>
        <v/>
      </c>
      <c r="O293" s="102" t="str">
        <f t="shared" si="50"/>
        <v/>
      </c>
      <c r="P293" s="102" t="str">
        <f t="shared" si="51"/>
        <v/>
      </c>
      <c r="Q293" s="68">
        <f t="shared" si="52"/>
        <v>0</v>
      </c>
      <c r="R293" s="102" t="str">
        <f t="shared" si="47"/>
        <v/>
      </c>
    </row>
    <row r="294" spans="1:18">
      <c r="A294" s="58" t="str">
        <f t="shared" si="48"/>
        <v/>
      </c>
      <c r="B294" s="58"/>
      <c r="C294" s="57"/>
      <c r="D294" s="58"/>
      <c r="E294" s="58"/>
      <c r="F294" s="58"/>
      <c r="G294" s="58"/>
      <c r="H294" s="58"/>
      <c r="I294" s="58"/>
      <c r="J294" s="58" t="str">
        <f t="shared" si="44"/>
        <v/>
      </c>
      <c r="K294" s="58" t="str">
        <f t="shared" si="45"/>
        <v/>
      </c>
      <c r="L294" s="59" t="str">
        <f>IF(C294="","",DATEDIF(C294,'Premium Table'!$B$6,"Y"))</f>
        <v/>
      </c>
      <c r="M294" s="59" t="str">
        <f t="shared" si="49"/>
        <v/>
      </c>
      <c r="N294" s="59" t="str">
        <f t="shared" si="46"/>
        <v/>
      </c>
      <c r="O294" s="102" t="str">
        <f t="shared" si="50"/>
        <v/>
      </c>
      <c r="P294" s="102" t="str">
        <f t="shared" si="51"/>
        <v/>
      </c>
      <c r="Q294" s="68">
        <f t="shared" si="52"/>
        <v>0</v>
      </c>
      <c r="R294" s="102" t="str">
        <f t="shared" si="47"/>
        <v/>
      </c>
    </row>
    <row r="295" spans="1:18">
      <c r="A295" s="58" t="str">
        <f t="shared" si="48"/>
        <v/>
      </c>
      <c r="B295" s="58"/>
      <c r="C295" s="57"/>
      <c r="D295" s="58"/>
      <c r="E295" s="58"/>
      <c r="F295" s="58"/>
      <c r="G295" s="58"/>
      <c r="H295" s="58"/>
      <c r="I295" s="58"/>
      <c r="J295" s="58" t="str">
        <f t="shared" si="44"/>
        <v/>
      </c>
      <c r="K295" s="58" t="str">
        <f t="shared" si="45"/>
        <v/>
      </c>
      <c r="L295" s="59" t="str">
        <f>IF(C295="","",DATEDIF(C295,'Premium Table'!$B$6,"Y"))</f>
        <v/>
      </c>
      <c r="M295" s="59" t="str">
        <f t="shared" si="49"/>
        <v/>
      </c>
      <c r="N295" s="59" t="str">
        <f t="shared" si="46"/>
        <v/>
      </c>
      <c r="O295" s="102" t="str">
        <f t="shared" si="50"/>
        <v/>
      </c>
      <c r="P295" s="102" t="str">
        <f t="shared" si="51"/>
        <v/>
      </c>
      <c r="Q295" s="68">
        <f t="shared" si="52"/>
        <v>0</v>
      </c>
      <c r="R295" s="102" t="str">
        <f t="shared" si="47"/>
        <v/>
      </c>
    </row>
    <row r="296" spans="1:18">
      <c r="A296" s="58" t="str">
        <f t="shared" si="48"/>
        <v/>
      </c>
      <c r="B296" s="58"/>
      <c r="C296" s="57"/>
      <c r="D296" s="58"/>
      <c r="E296" s="58"/>
      <c r="F296" s="58"/>
      <c r="G296" s="58"/>
      <c r="H296" s="58"/>
      <c r="I296" s="58"/>
      <c r="J296" s="58" t="str">
        <f t="shared" si="44"/>
        <v/>
      </c>
      <c r="K296" s="58" t="str">
        <f t="shared" si="45"/>
        <v/>
      </c>
      <c r="L296" s="59" t="str">
        <f>IF(C296="","",DATEDIF(C296,'Premium Table'!$B$6,"Y"))</f>
        <v/>
      </c>
      <c r="M296" s="59" t="str">
        <f t="shared" si="49"/>
        <v/>
      </c>
      <c r="N296" s="59" t="str">
        <f t="shared" si="46"/>
        <v/>
      </c>
      <c r="O296" s="102" t="str">
        <f t="shared" si="50"/>
        <v/>
      </c>
      <c r="P296" s="102" t="str">
        <f t="shared" si="51"/>
        <v/>
      </c>
      <c r="Q296" s="68">
        <f t="shared" si="52"/>
        <v>0</v>
      </c>
      <c r="R296" s="102" t="str">
        <f t="shared" si="47"/>
        <v/>
      </c>
    </row>
    <row r="297" spans="1:18">
      <c r="A297" s="58" t="str">
        <f t="shared" si="48"/>
        <v/>
      </c>
      <c r="B297" s="58"/>
      <c r="C297" s="57"/>
      <c r="D297" s="58"/>
      <c r="E297" s="58"/>
      <c r="F297" s="58"/>
      <c r="G297" s="58"/>
      <c r="H297" s="58"/>
      <c r="I297" s="58"/>
      <c r="J297" s="58" t="str">
        <f t="shared" si="44"/>
        <v/>
      </c>
      <c r="K297" s="58" t="str">
        <f t="shared" si="45"/>
        <v/>
      </c>
      <c r="L297" s="59" t="str">
        <f>IF(C297="","",DATEDIF(C297,'Premium Table'!$B$6,"Y"))</f>
        <v/>
      </c>
      <c r="M297" s="59" t="str">
        <f t="shared" si="49"/>
        <v/>
      </c>
      <c r="N297" s="59" t="str">
        <f t="shared" si="46"/>
        <v/>
      </c>
      <c r="O297" s="102" t="str">
        <f t="shared" si="50"/>
        <v/>
      </c>
      <c r="P297" s="102" t="str">
        <f t="shared" si="51"/>
        <v/>
      </c>
      <c r="Q297" s="68">
        <f t="shared" si="52"/>
        <v>0</v>
      </c>
      <c r="R297" s="102" t="str">
        <f t="shared" si="47"/>
        <v/>
      </c>
    </row>
    <row r="298" spans="1:18">
      <c r="A298" s="58" t="str">
        <f t="shared" si="48"/>
        <v/>
      </c>
      <c r="B298" s="58"/>
      <c r="C298" s="57"/>
      <c r="D298" s="58"/>
      <c r="E298" s="58"/>
      <c r="F298" s="58"/>
      <c r="G298" s="58"/>
      <c r="H298" s="58"/>
      <c r="I298" s="58"/>
      <c r="J298" s="58" t="str">
        <f t="shared" si="44"/>
        <v/>
      </c>
      <c r="K298" s="58" t="str">
        <f t="shared" si="45"/>
        <v/>
      </c>
      <c r="L298" s="59" t="str">
        <f>IF(C298="","",DATEDIF(C298,'Premium Table'!$B$6,"Y"))</f>
        <v/>
      </c>
      <c r="M298" s="59" t="str">
        <f t="shared" si="49"/>
        <v/>
      </c>
      <c r="N298" s="59" t="str">
        <f t="shared" si="46"/>
        <v/>
      </c>
      <c r="O298" s="102" t="str">
        <f t="shared" si="50"/>
        <v/>
      </c>
      <c r="P298" s="102" t="str">
        <f t="shared" si="51"/>
        <v/>
      </c>
      <c r="Q298" s="68">
        <f t="shared" si="52"/>
        <v>0</v>
      </c>
      <c r="R298" s="102" t="str">
        <f t="shared" si="47"/>
        <v/>
      </c>
    </row>
    <row r="299" spans="1:18">
      <c r="A299" s="58" t="str">
        <f t="shared" si="48"/>
        <v/>
      </c>
      <c r="B299" s="58"/>
      <c r="C299" s="57"/>
      <c r="D299" s="58"/>
      <c r="E299" s="58"/>
      <c r="F299" s="58"/>
      <c r="G299" s="58"/>
      <c r="H299" s="58"/>
      <c r="I299" s="58"/>
      <c r="J299" s="58" t="str">
        <f t="shared" si="44"/>
        <v/>
      </c>
      <c r="K299" s="58" t="str">
        <f t="shared" si="45"/>
        <v/>
      </c>
      <c r="L299" s="59" t="str">
        <f>IF(C299="","",DATEDIF(C299,'Premium Table'!$B$6,"Y"))</f>
        <v/>
      </c>
      <c r="M299" s="59" t="str">
        <f t="shared" si="49"/>
        <v/>
      </c>
      <c r="N299" s="59" t="str">
        <f t="shared" si="46"/>
        <v/>
      </c>
      <c r="O299" s="102" t="str">
        <f t="shared" si="50"/>
        <v/>
      </c>
      <c r="P299" s="102" t="str">
        <f t="shared" si="51"/>
        <v/>
      </c>
      <c r="Q299" s="68">
        <f t="shared" si="52"/>
        <v>0</v>
      </c>
      <c r="R299" s="102" t="str">
        <f t="shared" si="47"/>
        <v/>
      </c>
    </row>
    <row r="300" spans="1:18">
      <c r="A300" s="58" t="str">
        <f t="shared" si="48"/>
        <v/>
      </c>
      <c r="B300" s="58"/>
      <c r="C300" s="57"/>
      <c r="D300" s="58"/>
      <c r="E300" s="58"/>
      <c r="F300" s="58"/>
      <c r="G300" s="58"/>
      <c r="H300" s="58"/>
      <c r="I300" s="58"/>
      <c r="J300" s="58" t="str">
        <f t="shared" si="44"/>
        <v/>
      </c>
      <c r="K300" s="58" t="str">
        <f t="shared" si="45"/>
        <v/>
      </c>
      <c r="L300" s="59" t="str">
        <f>IF(C300="","",DATEDIF(C300,'Premium Table'!$B$6,"Y"))</f>
        <v/>
      </c>
      <c r="M300" s="59" t="str">
        <f t="shared" si="49"/>
        <v/>
      </c>
      <c r="N300" s="59" t="str">
        <f t="shared" si="46"/>
        <v/>
      </c>
      <c r="O300" s="102" t="str">
        <f t="shared" si="50"/>
        <v/>
      </c>
      <c r="P300" s="102" t="str">
        <f t="shared" si="51"/>
        <v/>
      </c>
      <c r="Q300" s="68">
        <f t="shared" si="52"/>
        <v>0</v>
      </c>
      <c r="R300" s="102" t="str">
        <f t="shared" si="47"/>
        <v/>
      </c>
    </row>
    <row r="301" spans="1:18">
      <c r="A301" s="58" t="str">
        <f t="shared" si="48"/>
        <v/>
      </c>
      <c r="B301" s="58"/>
      <c r="C301" s="57"/>
      <c r="D301" s="58"/>
      <c r="E301" s="58"/>
      <c r="F301" s="58"/>
      <c r="G301" s="58"/>
      <c r="H301" s="58"/>
      <c r="I301" s="58"/>
      <c r="J301" s="58" t="str">
        <f t="shared" si="44"/>
        <v/>
      </c>
      <c r="K301" s="58" t="str">
        <f t="shared" si="45"/>
        <v/>
      </c>
      <c r="L301" s="59" t="str">
        <f>IF(C301="","",DATEDIF(C301,'Premium Table'!$B$6,"Y"))</f>
        <v/>
      </c>
      <c r="M301" s="59" t="str">
        <f t="shared" si="49"/>
        <v/>
      </c>
      <c r="N301" s="59" t="str">
        <f t="shared" si="46"/>
        <v/>
      </c>
      <c r="O301" s="102" t="str">
        <f t="shared" si="50"/>
        <v/>
      </c>
      <c r="P301" s="102" t="str">
        <f t="shared" si="51"/>
        <v/>
      </c>
      <c r="Q301" s="68">
        <f t="shared" si="52"/>
        <v>0</v>
      </c>
      <c r="R301" s="102" t="str">
        <f t="shared" si="47"/>
        <v/>
      </c>
    </row>
    <row r="302" spans="1:18">
      <c r="A302" s="58" t="str">
        <f t="shared" si="48"/>
        <v/>
      </c>
      <c r="B302" s="58"/>
      <c r="C302" s="57"/>
      <c r="D302" s="58"/>
      <c r="E302" s="58"/>
      <c r="F302" s="58"/>
      <c r="G302" s="58"/>
      <c r="H302" s="58"/>
      <c r="I302" s="58"/>
      <c r="J302" s="58" t="str">
        <f t="shared" si="44"/>
        <v/>
      </c>
      <c r="K302" s="58" t="str">
        <f t="shared" si="45"/>
        <v/>
      </c>
      <c r="L302" s="59" t="str">
        <f>IF(C302="","",DATEDIF(C302,'Premium Table'!$B$6,"Y"))</f>
        <v/>
      </c>
      <c r="M302" s="59" t="str">
        <f t="shared" si="49"/>
        <v/>
      </c>
      <c r="N302" s="59" t="str">
        <f t="shared" si="46"/>
        <v/>
      </c>
      <c r="O302" s="102" t="str">
        <f t="shared" si="50"/>
        <v/>
      </c>
      <c r="P302" s="102" t="str">
        <f t="shared" si="51"/>
        <v/>
      </c>
      <c r="Q302" s="68">
        <f t="shared" si="52"/>
        <v>0</v>
      </c>
      <c r="R302" s="102" t="str">
        <f t="shared" si="47"/>
        <v/>
      </c>
    </row>
    <row r="303" spans="1:18">
      <c r="A303" s="58" t="str">
        <f t="shared" si="48"/>
        <v/>
      </c>
      <c r="B303" s="58"/>
      <c r="C303" s="57"/>
      <c r="D303" s="58"/>
      <c r="E303" s="58"/>
      <c r="F303" s="58"/>
      <c r="G303" s="58"/>
      <c r="H303" s="58"/>
      <c r="I303" s="58"/>
      <c r="J303" s="58" t="str">
        <f t="shared" si="44"/>
        <v/>
      </c>
      <c r="K303" s="58" t="str">
        <f t="shared" si="45"/>
        <v/>
      </c>
      <c r="L303" s="59" t="str">
        <f>IF(C303="","",DATEDIF(C303,'Premium Table'!$B$6,"Y"))</f>
        <v/>
      </c>
      <c r="M303" s="59" t="str">
        <f t="shared" si="49"/>
        <v/>
      </c>
      <c r="N303" s="59" t="str">
        <f t="shared" si="46"/>
        <v/>
      </c>
      <c r="O303" s="102" t="str">
        <f t="shared" si="50"/>
        <v/>
      </c>
      <c r="P303" s="102" t="str">
        <f t="shared" si="51"/>
        <v/>
      </c>
      <c r="Q303" s="68">
        <f t="shared" si="52"/>
        <v>0</v>
      </c>
      <c r="R303" s="102" t="str">
        <f t="shared" si="47"/>
        <v/>
      </c>
    </row>
    <row r="304" spans="1:18">
      <c r="A304" s="58" t="str">
        <f t="shared" si="48"/>
        <v/>
      </c>
      <c r="B304" s="58"/>
      <c r="C304" s="57"/>
      <c r="D304" s="58"/>
      <c r="E304" s="58"/>
      <c r="F304" s="58"/>
      <c r="G304" s="58"/>
      <c r="H304" s="58"/>
      <c r="I304" s="58"/>
      <c r="J304" s="58" t="str">
        <f t="shared" si="44"/>
        <v/>
      </c>
      <c r="K304" s="58" t="str">
        <f t="shared" si="45"/>
        <v/>
      </c>
      <c r="L304" s="59" t="str">
        <f>IF(C304="","",DATEDIF(C304,'Premium Table'!$B$6,"Y"))</f>
        <v/>
      </c>
      <c r="M304" s="59" t="str">
        <f t="shared" si="49"/>
        <v/>
      </c>
      <c r="N304" s="59" t="str">
        <f t="shared" si="46"/>
        <v/>
      </c>
      <c r="O304" s="102" t="str">
        <f t="shared" si="50"/>
        <v/>
      </c>
      <c r="P304" s="102" t="str">
        <f t="shared" si="51"/>
        <v/>
      </c>
      <c r="Q304" s="68">
        <f t="shared" si="52"/>
        <v>0</v>
      </c>
      <c r="R304" s="102" t="str">
        <f t="shared" si="47"/>
        <v/>
      </c>
    </row>
    <row r="305" spans="1:18">
      <c r="A305" s="58" t="str">
        <f t="shared" si="48"/>
        <v/>
      </c>
      <c r="B305" s="58"/>
      <c r="C305" s="57"/>
      <c r="D305" s="58"/>
      <c r="E305" s="58"/>
      <c r="F305" s="58"/>
      <c r="G305" s="58"/>
      <c r="H305" s="58"/>
      <c r="I305" s="58"/>
      <c r="J305" s="58" t="str">
        <f t="shared" si="44"/>
        <v/>
      </c>
      <c r="K305" s="58" t="str">
        <f t="shared" si="45"/>
        <v/>
      </c>
      <c r="L305" s="59" t="str">
        <f>IF(C305="","",DATEDIF(C305,'Premium Table'!$B$6,"Y"))</f>
        <v/>
      </c>
      <c r="M305" s="59" t="str">
        <f t="shared" si="49"/>
        <v/>
      </c>
      <c r="N305" s="59" t="str">
        <f t="shared" si="46"/>
        <v/>
      </c>
      <c r="O305" s="102" t="str">
        <f t="shared" si="50"/>
        <v/>
      </c>
      <c r="P305" s="102" t="str">
        <f t="shared" si="51"/>
        <v/>
      </c>
      <c r="Q305" s="68">
        <f t="shared" si="52"/>
        <v>0</v>
      </c>
      <c r="R305" s="102" t="str">
        <f t="shared" si="47"/>
        <v/>
      </c>
    </row>
    <row r="306" spans="1:18">
      <c r="A306" s="58" t="str">
        <f t="shared" si="48"/>
        <v/>
      </c>
      <c r="B306" s="58"/>
      <c r="C306" s="57"/>
      <c r="D306" s="58"/>
      <c r="E306" s="58"/>
      <c r="F306" s="58"/>
      <c r="G306" s="58"/>
      <c r="H306" s="58"/>
      <c r="I306" s="58"/>
      <c r="J306" s="58" t="str">
        <f t="shared" si="44"/>
        <v/>
      </c>
      <c r="K306" s="58" t="str">
        <f t="shared" si="45"/>
        <v/>
      </c>
      <c r="L306" s="59" t="str">
        <f>IF(C306="","",DATEDIF(C306,'Premium Table'!$B$6,"Y"))</f>
        <v/>
      </c>
      <c r="M306" s="59" t="str">
        <f t="shared" si="49"/>
        <v/>
      </c>
      <c r="N306" s="59" t="str">
        <f t="shared" si="46"/>
        <v/>
      </c>
      <c r="O306" s="102" t="str">
        <f t="shared" si="50"/>
        <v/>
      </c>
      <c r="P306" s="102" t="str">
        <f t="shared" si="51"/>
        <v/>
      </c>
      <c r="Q306" s="68">
        <f t="shared" si="52"/>
        <v>0</v>
      </c>
      <c r="R306" s="102" t="str">
        <f t="shared" si="47"/>
        <v/>
      </c>
    </row>
    <row r="307" spans="1:18">
      <c r="A307" s="58" t="str">
        <f t="shared" si="48"/>
        <v/>
      </c>
      <c r="B307" s="58"/>
      <c r="C307" s="57"/>
      <c r="D307" s="58"/>
      <c r="E307" s="58"/>
      <c r="F307" s="58"/>
      <c r="G307" s="58"/>
      <c r="H307" s="58"/>
      <c r="I307" s="58"/>
      <c r="J307" s="58" t="str">
        <f t="shared" si="44"/>
        <v/>
      </c>
      <c r="K307" s="58" t="str">
        <f t="shared" si="45"/>
        <v/>
      </c>
      <c r="L307" s="59" t="str">
        <f>IF(C307="","",DATEDIF(C307,'Premium Table'!$B$6,"Y"))</f>
        <v/>
      </c>
      <c r="M307" s="59" t="str">
        <f t="shared" si="49"/>
        <v/>
      </c>
      <c r="N307" s="59" t="str">
        <f t="shared" si="46"/>
        <v/>
      </c>
      <c r="O307" s="102" t="str">
        <f t="shared" si="50"/>
        <v/>
      </c>
      <c r="P307" s="102" t="str">
        <f t="shared" si="51"/>
        <v/>
      </c>
      <c r="Q307" s="68">
        <f t="shared" si="52"/>
        <v>0</v>
      </c>
      <c r="R307" s="102" t="str">
        <f t="shared" si="47"/>
        <v/>
      </c>
    </row>
    <row r="308" spans="1:18">
      <c r="A308" s="58" t="str">
        <f t="shared" si="48"/>
        <v/>
      </c>
      <c r="B308" s="58"/>
      <c r="C308" s="57"/>
      <c r="D308" s="58"/>
      <c r="E308" s="58"/>
      <c r="F308" s="58"/>
      <c r="G308" s="58"/>
      <c r="H308" s="58"/>
      <c r="I308" s="58"/>
      <c r="J308" s="58" t="str">
        <f t="shared" si="44"/>
        <v/>
      </c>
      <c r="K308" s="58" t="str">
        <f t="shared" si="45"/>
        <v/>
      </c>
      <c r="L308" s="59" t="str">
        <f>IF(C308="","",DATEDIF(C308,'Premium Table'!$B$6,"Y"))</f>
        <v/>
      </c>
      <c r="M308" s="59" t="str">
        <f t="shared" si="49"/>
        <v/>
      </c>
      <c r="N308" s="59" t="str">
        <f t="shared" si="46"/>
        <v/>
      </c>
      <c r="O308" s="102" t="str">
        <f t="shared" si="50"/>
        <v/>
      </c>
      <c r="P308" s="102" t="str">
        <f t="shared" si="51"/>
        <v/>
      </c>
      <c r="Q308" s="68">
        <f t="shared" si="52"/>
        <v>0</v>
      </c>
      <c r="R308" s="102" t="str">
        <f t="shared" si="47"/>
        <v/>
      </c>
    </row>
    <row r="309" spans="1:18">
      <c r="A309" s="58" t="str">
        <f t="shared" si="48"/>
        <v/>
      </c>
      <c r="B309" s="58"/>
      <c r="C309" s="57"/>
      <c r="D309" s="58"/>
      <c r="E309" s="58"/>
      <c r="F309" s="58"/>
      <c r="G309" s="58"/>
      <c r="H309" s="58"/>
      <c r="I309" s="58"/>
      <c r="J309" s="58" t="str">
        <f t="shared" si="44"/>
        <v/>
      </c>
      <c r="K309" s="58" t="str">
        <f t="shared" si="45"/>
        <v/>
      </c>
      <c r="L309" s="59" t="str">
        <f>IF(C309="","",DATEDIF(C309,'Premium Table'!$B$6,"Y"))</f>
        <v/>
      </c>
      <c r="M309" s="59" t="str">
        <f t="shared" si="49"/>
        <v/>
      </c>
      <c r="N309" s="59" t="str">
        <f t="shared" si="46"/>
        <v/>
      </c>
      <c r="O309" s="102" t="str">
        <f t="shared" si="50"/>
        <v/>
      </c>
      <c r="P309" s="102" t="str">
        <f t="shared" si="51"/>
        <v/>
      </c>
      <c r="Q309" s="68">
        <f t="shared" si="52"/>
        <v>0</v>
      </c>
      <c r="R309" s="102" t="str">
        <f t="shared" si="47"/>
        <v/>
      </c>
    </row>
    <row r="310" spans="1:18">
      <c r="A310" s="58" t="str">
        <f t="shared" si="48"/>
        <v/>
      </c>
      <c r="B310" s="58"/>
      <c r="C310" s="57"/>
      <c r="D310" s="58"/>
      <c r="E310" s="58"/>
      <c r="F310" s="58"/>
      <c r="G310" s="58"/>
      <c r="H310" s="58"/>
      <c r="I310" s="58"/>
      <c r="J310" s="58" t="str">
        <f t="shared" si="44"/>
        <v/>
      </c>
      <c r="K310" s="58" t="str">
        <f t="shared" si="45"/>
        <v/>
      </c>
      <c r="L310" s="59" t="str">
        <f>IF(C310="","",DATEDIF(C310,'Premium Table'!$B$6,"Y"))</f>
        <v/>
      </c>
      <c r="M310" s="59" t="str">
        <f t="shared" si="49"/>
        <v/>
      </c>
      <c r="N310" s="59" t="str">
        <f t="shared" si="46"/>
        <v/>
      </c>
      <c r="O310" s="102" t="str">
        <f t="shared" si="50"/>
        <v/>
      </c>
      <c r="P310" s="102" t="str">
        <f t="shared" si="51"/>
        <v/>
      </c>
      <c r="Q310" s="68">
        <f t="shared" si="52"/>
        <v>0</v>
      </c>
      <c r="R310" s="102" t="str">
        <f t="shared" si="47"/>
        <v/>
      </c>
    </row>
    <row r="311" spans="1:18">
      <c r="A311" s="58" t="str">
        <f t="shared" si="48"/>
        <v/>
      </c>
      <c r="B311" s="58"/>
      <c r="C311" s="57"/>
      <c r="D311" s="58"/>
      <c r="E311" s="58"/>
      <c r="F311" s="58"/>
      <c r="G311" s="58"/>
      <c r="H311" s="58"/>
      <c r="I311" s="58"/>
      <c r="J311" s="58" t="str">
        <f t="shared" si="44"/>
        <v/>
      </c>
      <c r="K311" s="58" t="str">
        <f t="shared" si="45"/>
        <v/>
      </c>
      <c r="L311" s="59" t="str">
        <f>IF(C311="","",DATEDIF(C311,'Premium Table'!$B$6,"Y"))</f>
        <v/>
      </c>
      <c r="M311" s="59" t="str">
        <f t="shared" si="49"/>
        <v/>
      </c>
      <c r="N311" s="59" t="str">
        <f t="shared" si="46"/>
        <v/>
      </c>
      <c r="O311" s="102" t="str">
        <f t="shared" si="50"/>
        <v/>
      </c>
      <c r="P311" s="102" t="str">
        <f t="shared" si="51"/>
        <v/>
      </c>
      <c r="Q311" s="68">
        <f t="shared" si="52"/>
        <v>0</v>
      </c>
      <c r="R311" s="102" t="str">
        <f t="shared" si="47"/>
        <v/>
      </c>
    </row>
    <row r="312" spans="1:18">
      <c r="A312" s="58" t="str">
        <f t="shared" si="48"/>
        <v/>
      </c>
      <c r="B312" s="58"/>
      <c r="C312" s="57"/>
      <c r="D312" s="58"/>
      <c r="E312" s="58"/>
      <c r="F312" s="58"/>
      <c r="G312" s="58"/>
      <c r="H312" s="58"/>
      <c r="I312" s="58"/>
      <c r="J312" s="58" t="str">
        <f t="shared" si="44"/>
        <v/>
      </c>
      <c r="K312" s="58" t="str">
        <f t="shared" si="45"/>
        <v/>
      </c>
      <c r="L312" s="59" t="str">
        <f>IF(C312="","",DATEDIF(C312,'Premium Table'!$B$6,"Y"))</f>
        <v/>
      </c>
      <c r="M312" s="59" t="str">
        <f t="shared" si="49"/>
        <v/>
      </c>
      <c r="N312" s="59" t="str">
        <f t="shared" si="46"/>
        <v/>
      </c>
      <c r="O312" s="102" t="str">
        <f t="shared" si="50"/>
        <v/>
      </c>
      <c r="P312" s="102" t="str">
        <f t="shared" si="51"/>
        <v/>
      </c>
      <c r="Q312" s="68">
        <f t="shared" si="52"/>
        <v>0</v>
      </c>
      <c r="R312" s="102" t="str">
        <f t="shared" si="47"/>
        <v/>
      </c>
    </row>
    <row r="313" spans="1:18">
      <c r="A313" s="58" t="str">
        <f t="shared" si="48"/>
        <v/>
      </c>
      <c r="B313" s="58"/>
      <c r="C313" s="57"/>
      <c r="D313" s="58"/>
      <c r="E313" s="58"/>
      <c r="F313" s="58"/>
      <c r="G313" s="58"/>
      <c r="H313" s="58"/>
      <c r="I313" s="58"/>
      <c r="J313" s="58" t="str">
        <f t="shared" si="44"/>
        <v/>
      </c>
      <c r="K313" s="58" t="str">
        <f t="shared" si="45"/>
        <v/>
      </c>
      <c r="L313" s="59" t="str">
        <f>IF(C313="","",DATEDIF(C313,'Premium Table'!$B$6,"Y"))</f>
        <v/>
      </c>
      <c r="M313" s="59" t="str">
        <f t="shared" si="49"/>
        <v/>
      </c>
      <c r="N313" s="59" t="str">
        <f t="shared" si="46"/>
        <v/>
      </c>
      <c r="O313" s="102" t="str">
        <f t="shared" si="50"/>
        <v/>
      </c>
      <c r="P313" s="102" t="str">
        <f t="shared" si="51"/>
        <v/>
      </c>
      <c r="Q313" s="68">
        <f t="shared" si="52"/>
        <v>0</v>
      </c>
      <c r="R313" s="102" t="str">
        <f t="shared" si="47"/>
        <v/>
      </c>
    </row>
    <row r="314" spans="1:18">
      <c r="A314" s="58" t="str">
        <f t="shared" si="48"/>
        <v/>
      </c>
      <c r="B314" s="58"/>
      <c r="C314" s="57"/>
      <c r="D314" s="58"/>
      <c r="E314" s="58"/>
      <c r="F314" s="58"/>
      <c r="G314" s="58"/>
      <c r="H314" s="58"/>
      <c r="I314" s="58"/>
      <c r="J314" s="58" t="str">
        <f t="shared" si="44"/>
        <v/>
      </c>
      <c r="K314" s="58" t="str">
        <f t="shared" si="45"/>
        <v/>
      </c>
      <c r="L314" s="59" t="str">
        <f>IF(C314="","",DATEDIF(C314,'Premium Table'!$B$6,"Y"))</f>
        <v/>
      </c>
      <c r="M314" s="59" t="str">
        <f t="shared" si="49"/>
        <v/>
      </c>
      <c r="N314" s="59" t="str">
        <f t="shared" si="46"/>
        <v/>
      </c>
      <c r="O314" s="102" t="str">
        <f t="shared" si="50"/>
        <v/>
      </c>
      <c r="P314" s="102" t="str">
        <f t="shared" si="51"/>
        <v/>
      </c>
      <c r="Q314" s="68">
        <f t="shared" si="52"/>
        <v>0</v>
      </c>
      <c r="R314" s="102" t="str">
        <f t="shared" si="47"/>
        <v/>
      </c>
    </row>
    <row r="315" spans="1:18">
      <c r="A315" s="58" t="str">
        <f t="shared" si="48"/>
        <v/>
      </c>
      <c r="B315" s="58"/>
      <c r="C315" s="57"/>
      <c r="D315" s="58"/>
      <c r="E315" s="58"/>
      <c r="F315" s="58"/>
      <c r="G315" s="58"/>
      <c r="H315" s="58"/>
      <c r="I315" s="58"/>
      <c r="J315" s="58" t="str">
        <f t="shared" si="44"/>
        <v/>
      </c>
      <c r="K315" s="58" t="str">
        <f t="shared" si="45"/>
        <v/>
      </c>
      <c r="L315" s="59" t="str">
        <f>IF(C315="","",DATEDIF(C315,'Premium Table'!$B$6,"Y"))</f>
        <v/>
      </c>
      <c r="M315" s="59" t="str">
        <f t="shared" si="49"/>
        <v/>
      </c>
      <c r="N315" s="59" t="str">
        <f t="shared" si="46"/>
        <v/>
      </c>
      <c r="O315" s="102" t="str">
        <f t="shared" si="50"/>
        <v/>
      </c>
      <c r="P315" s="102" t="str">
        <f t="shared" si="51"/>
        <v/>
      </c>
      <c r="Q315" s="68">
        <f t="shared" si="52"/>
        <v>0</v>
      </c>
      <c r="R315" s="102" t="str">
        <f t="shared" si="47"/>
        <v/>
      </c>
    </row>
    <row r="316" spans="1:18">
      <c r="A316" s="58" t="str">
        <f t="shared" si="48"/>
        <v/>
      </c>
      <c r="B316" s="58"/>
      <c r="C316" s="57"/>
      <c r="D316" s="58"/>
      <c r="E316" s="58"/>
      <c r="F316" s="58"/>
      <c r="G316" s="58"/>
      <c r="H316" s="58"/>
      <c r="I316" s="58"/>
      <c r="J316" s="58" t="str">
        <f t="shared" si="44"/>
        <v/>
      </c>
      <c r="K316" s="58" t="str">
        <f t="shared" si="45"/>
        <v/>
      </c>
      <c r="L316" s="59" t="str">
        <f>IF(C316="","",DATEDIF(C316,'Premium Table'!$B$6,"Y"))</f>
        <v/>
      </c>
      <c r="M316" s="59" t="str">
        <f t="shared" si="49"/>
        <v/>
      </c>
      <c r="N316" s="59" t="str">
        <f t="shared" si="46"/>
        <v/>
      </c>
      <c r="O316" s="102" t="str">
        <f t="shared" si="50"/>
        <v/>
      </c>
      <c r="P316" s="102" t="str">
        <f t="shared" si="51"/>
        <v/>
      </c>
      <c r="Q316" s="68">
        <f t="shared" si="52"/>
        <v>0</v>
      </c>
      <c r="R316" s="102" t="str">
        <f t="shared" si="47"/>
        <v/>
      </c>
    </row>
    <row r="317" spans="1:18">
      <c r="A317" s="58" t="str">
        <f t="shared" si="48"/>
        <v/>
      </c>
      <c r="B317" s="58"/>
      <c r="C317" s="57"/>
      <c r="D317" s="58"/>
      <c r="E317" s="58"/>
      <c r="F317" s="58"/>
      <c r="G317" s="58"/>
      <c r="H317" s="58"/>
      <c r="I317" s="58"/>
      <c r="J317" s="58" t="str">
        <f t="shared" si="44"/>
        <v/>
      </c>
      <c r="K317" s="58" t="str">
        <f t="shared" si="45"/>
        <v/>
      </c>
      <c r="L317" s="59" t="str">
        <f>IF(C317="","",DATEDIF(C317,'Premium Table'!$B$6,"Y"))</f>
        <v/>
      </c>
      <c r="M317" s="59" t="str">
        <f t="shared" si="49"/>
        <v/>
      </c>
      <c r="N317" s="59" t="str">
        <f t="shared" si="46"/>
        <v/>
      </c>
      <c r="O317" s="102" t="str">
        <f t="shared" si="50"/>
        <v/>
      </c>
      <c r="P317" s="102" t="str">
        <f t="shared" si="51"/>
        <v/>
      </c>
      <c r="Q317" s="68">
        <f t="shared" si="52"/>
        <v>0</v>
      </c>
      <c r="R317" s="102" t="str">
        <f t="shared" si="47"/>
        <v/>
      </c>
    </row>
    <row r="318" spans="1:18">
      <c r="A318" s="58" t="str">
        <f t="shared" si="48"/>
        <v/>
      </c>
      <c r="B318" s="58"/>
      <c r="C318" s="57"/>
      <c r="D318" s="58"/>
      <c r="E318" s="58"/>
      <c r="F318" s="58"/>
      <c r="G318" s="58"/>
      <c r="H318" s="58"/>
      <c r="I318" s="58"/>
      <c r="J318" s="58" t="str">
        <f t="shared" si="44"/>
        <v/>
      </c>
      <c r="K318" s="58" t="str">
        <f t="shared" si="45"/>
        <v/>
      </c>
      <c r="L318" s="59" t="str">
        <f>IF(C318="","",DATEDIF(C318,'Premium Table'!$B$6,"Y"))</f>
        <v/>
      </c>
      <c r="M318" s="59" t="str">
        <f t="shared" si="49"/>
        <v/>
      </c>
      <c r="N318" s="59" t="str">
        <f t="shared" si="46"/>
        <v/>
      </c>
      <c r="O318" s="102" t="str">
        <f t="shared" si="50"/>
        <v/>
      </c>
      <c r="P318" s="102" t="str">
        <f t="shared" si="51"/>
        <v/>
      </c>
      <c r="Q318" s="68">
        <f t="shared" si="52"/>
        <v>0</v>
      </c>
      <c r="R318" s="102" t="str">
        <f t="shared" si="47"/>
        <v/>
      </c>
    </row>
    <row r="319" spans="1:18">
      <c r="A319" s="58" t="str">
        <f t="shared" si="48"/>
        <v/>
      </c>
      <c r="B319" s="58"/>
      <c r="C319" s="57"/>
      <c r="D319" s="58"/>
      <c r="E319" s="58"/>
      <c r="F319" s="58"/>
      <c r="G319" s="58"/>
      <c r="H319" s="58"/>
      <c r="I319" s="58"/>
      <c r="J319" s="58" t="str">
        <f t="shared" si="44"/>
        <v/>
      </c>
      <c r="K319" s="58" t="str">
        <f t="shared" si="45"/>
        <v/>
      </c>
      <c r="L319" s="59" t="str">
        <f>IF(C319="","",DATEDIF(C319,'Premium Table'!$B$6,"Y"))</f>
        <v/>
      </c>
      <c r="M319" s="59" t="str">
        <f t="shared" si="49"/>
        <v/>
      </c>
      <c r="N319" s="59" t="str">
        <f t="shared" si="46"/>
        <v/>
      </c>
      <c r="O319" s="102" t="str">
        <f t="shared" si="50"/>
        <v/>
      </c>
      <c r="P319" s="102" t="str">
        <f t="shared" si="51"/>
        <v/>
      </c>
      <c r="Q319" s="68">
        <f t="shared" si="52"/>
        <v>0</v>
      </c>
      <c r="R319" s="102" t="str">
        <f t="shared" si="47"/>
        <v/>
      </c>
    </row>
    <row r="320" spans="1:18">
      <c r="A320" s="58" t="str">
        <f t="shared" si="48"/>
        <v/>
      </c>
      <c r="B320" s="58"/>
      <c r="C320" s="57"/>
      <c r="D320" s="58"/>
      <c r="E320" s="58"/>
      <c r="F320" s="58"/>
      <c r="G320" s="58"/>
      <c r="H320" s="58"/>
      <c r="I320" s="58"/>
      <c r="J320" s="58" t="str">
        <f t="shared" si="44"/>
        <v/>
      </c>
      <c r="K320" s="58" t="str">
        <f t="shared" si="45"/>
        <v/>
      </c>
      <c r="L320" s="59" t="str">
        <f>IF(C320="","",DATEDIF(C320,'Premium Table'!$B$6,"Y"))</f>
        <v/>
      </c>
      <c r="M320" s="59" t="str">
        <f t="shared" si="49"/>
        <v/>
      </c>
      <c r="N320" s="59" t="str">
        <f t="shared" si="46"/>
        <v/>
      </c>
      <c r="O320" s="102" t="str">
        <f t="shared" si="50"/>
        <v/>
      </c>
      <c r="P320" s="102" t="str">
        <f t="shared" si="51"/>
        <v/>
      </c>
      <c r="Q320" s="68">
        <f t="shared" si="52"/>
        <v>0</v>
      </c>
      <c r="R320" s="102" t="str">
        <f t="shared" si="47"/>
        <v/>
      </c>
    </row>
    <row r="321" spans="1:18">
      <c r="A321" s="58" t="str">
        <f t="shared" si="48"/>
        <v/>
      </c>
      <c r="B321" s="58"/>
      <c r="C321" s="57"/>
      <c r="D321" s="58"/>
      <c r="E321" s="58"/>
      <c r="F321" s="58"/>
      <c r="G321" s="58"/>
      <c r="H321" s="58"/>
      <c r="I321" s="58"/>
      <c r="J321" s="58" t="str">
        <f t="shared" si="44"/>
        <v/>
      </c>
      <c r="K321" s="58" t="str">
        <f t="shared" si="45"/>
        <v/>
      </c>
      <c r="L321" s="59" t="str">
        <f>IF(C321="","",DATEDIF(C321,'Premium Table'!$B$6,"Y"))</f>
        <v/>
      </c>
      <c r="M321" s="59" t="str">
        <f t="shared" si="49"/>
        <v/>
      </c>
      <c r="N321" s="59" t="str">
        <f t="shared" si="46"/>
        <v/>
      </c>
      <c r="O321" s="102" t="str">
        <f t="shared" si="50"/>
        <v/>
      </c>
      <c r="P321" s="102" t="str">
        <f t="shared" si="51"/>
        <v/>
      </c>
      <c r="Q321" s="68">
        <f t="shared" si="52"/>
        <v>0</v>
      </c>
      <c r="R321" s="102" t="str">
        <f t="shared" si="47"/>
        <v/>
      </c>
    </row>
    <row r="322" spans="1:18">
      <c r="A322" s="58" t="str">
        <f t="shared" si="48"/>
        <v/>
      </c>
      <c r="B322" s="58"/>
      <c r="C322" s="57"/>
      <c r="D322" s="58"/>
      <c r="E322" s="58"/>
      <c r="F322" s="58"/>
      <c r="G322" s="58"/>
      <c r="H322" s="58"/>
      <c r="I322" s="58"/>
      <c r="J322" s="58" t="str">
        <f t="shared" si="44"/>
        <v/>
      </c>
      <c r="K322" s="58" t="str">
        <f t="shared" si="45"/>
        <v/>
      </c>
      <c r="L322" s="59" t="str">
        <f>IF(C322="","",DATEDIF(C322,'Premium Table'!$B$6,"Y"))</f>
        <v/>
      </c>
      <c r="M322" s="59" t="str">
        <f t="shared" si="49"/>
        <v/>
      </c>
      <c r="N322" s="59" t="str">
        <f t="shared" si="46"/>
        <v/>
      </c>
      <c r="O322" s="102" t="str">
        <f t="shared" si="50"/>
        <v/>
      </c>
      <c r="P322" s="102" t="str">
        <f t="shared" si="51"/>
        <v/>
      </c>
      <c r="Q322" s="68">
        <f t="shared" si="52"/>
        <v>0</v>
      </c>
      <c r="R322" s="102" t="str">
        <f t="shared" si="47"/>
        <v/>
      </c>
    </row>
    <row r="323" spans="1:18">
      <c r="A323" s="58" t="str">
        <f t="shared" si="48"/>
        <v/>
      </c>
      <c r="B323" s="58"/>
      <c r="C323" s="57"/>
      <c r="D323" s="58"/>
      <c r="E323" s="58"/>
      <c r="F323" s="58"/>
      <c r="G323" s="58"/>
      <c r="H323" s="58"/>
      <c r="I323" s="58"/>
      <c r="J323" s="58" t="str">
        <f t="shared" si="44"/>
        <v/>
      </c>
      <c r="K323" s="58" t="str">
        <f t="shared" si="45"/>
        <v/>
      </c>
      <c r="L323" s="59" t="str">
        <f>IF(C323="","",DATEDIF(C323,'Premium Table'!$B$6,"Y"))</f>
        <v/>
      </c>
      <c r="M323" s="59" t="str">
        <f t="shared" si="49"/>
        <v/>
      </c>
      <c r="N323" s="59" t="str">
        <f t="shared" si="46"/>
        <v/>
      </c>
      <c r="O323" s="102" t="str">
        <f t="shared" si="50"/>
        <v/>
      </c>
      <c r="P323" s="102" t="str">
        <f t="shared" si="51"/>
        <v/>
      </c>
      <c r="Q323" s="68">
        <f t="shared" si="52"/>
        <v>0</v>
      </c>
      <c r="R323" s="102" t="str">
        <f t="shared" si="47"/>
        <v/>
      </c>
    </row>
    <row r="324" spans="1:18">
      <c r="A324" s="58" t="str">
        <f t="shared" si="48"/>
        <v/>
      </c>
      <c r="B324" s="58"/>
      <c r="C324" s="57"/>
      <c r="D324" s="58"/>
      <c r="E324" s="58"/>
      <c r="F324" s="58"/>
      <c r="G324" s="58"/>
      <c r="H324" s="58"/>
      <c r="I324" s="58"/>
      <c r="J324" s="58" t="str">
        <f t="shared" si="44"/>
        <v/>
      </c>
      <c r="K324" s="58" t="str">
        <f t="shared" si="45"/>
        <v/>
      </c>
      <c r="L324" s="59" t="str">
        <f>IF(C324="","",DATEDIF(C324,'Premium Table'!$B$6,"Y"))</f>
        <v/>
      </c>
      <c r="M324" s="59" t="str">
        <f t="shared" si="49"/>
        <v/>
      </c>
      <c r="N324" s="59" t="str">
        <f t="shared" si="46"/>
        <v/>
      </c>
      <c r="O324" s="102" t="str">
        <f t="shared" si="50"/>
        <v/>
      </c>
      <c r="P324" s="102" t="str">
        <f t="shared" si="51"/>
        <v/>
      </c>
      <c r="Q324" s="68">
        <f t="shared" si="52"/>
        <v>0</v>
      </c>
      <c r="R324" s="102" t="str">
        <f t="shared" si="47"/>
        <v/>
      </c>
    </row>
    <row r="325" spans="1:18">
      <c r="A325" s="58" t="str">
        <f t="shared" si="48"/>
        <v/>
      </c>
      <c r="B325" s="58"/>
      <c r="C325" s="57"/>
      <c r="D325" s="58"/>
      <c r="E325" s="58"/>
      <c r="F325" s="58"/>
      <c r="G325" s="58"/>
      <c r="H325" s="58"/>
      <c r="I325" s="58"/>
      <c r="J325" s="58" t="str">
        <f t="shared" si="44"/>
        <v/>
      </c>
      <c r="K325" s="58" t="str">
        <f t="shared" si="45"/>
        <v/>
      </c>
      <c r="L325" s="59" t="str">
        <f>IF(C325="","",DATEDIF(C325,'Premium Table'!$B$6,"Y"))</f>
        <v/>
      </c>
      <c r="M325" s="59" t="str">
        <f t="shared" si="49"/>
        <v/>
      </c>
      <c r="N325" s="59" t="str">
        <f t="shared" si="46"/>
        <v/>
      </c>
      <c r="O325" s="102" t="str">
        <f t="shared" si="50"/>
        <v/>
      </c>
      <c r="P325" s="102" t="str">
        <f t="shared" si="51"/>
        <v/>
      </c>
      <c r="Q325" s="68">
        <f t="shared" si="52"/>
        <v>0</v>
      </c>
      <c r="R325" s="102" t="str">
        <f t="shared" si="47"/>
        <v/>
      </c>
    </row>
    <row r="326" spans="1:18">
      <c r="A326" s="58" t="str">
        <f t="shared" si="48"/>
        <v/>
      </c>
      <c r="B326" s="58"/>
      <c r="C326" s="57"/>
      <c r="D326" s="58"/>
      <c r="E326" s="58"/>
      <c r="F326" s="58"/>
      <c r="G326" s="58"/>
      <c r="H326" s="58"/>
      <c r="I326" s="58"/>
      <c r="J326" s="58" t="str">
        <f t="shared" ref="J326:J389" si="53">IF(D326="","",E326&amp;LEFT(D326)&amp;IF(F326="Employee","E","D"))</f>
        <v/>
      </c>
      <c r="K326" s="58" t="str">
        <f t="shared" ref="K326:K389" si="54">IF(J326="","",VLOOKUP(J326,$Y$19:$Z$50,2,FALSE))</f>
        <v/>
      </c>
      <c r="L326" s="59" t="str">
        <f>IF(C326="","",DATEDIF(C326,'Premium Table'!$B$6,"Y"))</f>
        <v/>
      </c>
      <c r="M326" s="59" t="str">
        <f t="shared" si="49"/>
        <v/>
      </c>
      <c r="N326" s="59" t="str">
        <f t="shared" ref="N326:N389" si="55">IF(L326="","",IF(M326="","",IF(H326="DXB",VLOOKUP(M326,DXBAgeBr,3,FALSE),IF(H326="AUH",VLOOKUP(M326,AUHAgeBr,2,FALSE),""))))</f>
        <v/>
      </c>
      <c r="O326" s="102" t="str">
        <f t="shared" si="50"/>
        <v/>
      </c>
      <c r="P326" s="102" t="str">
        <f t="shared" si="51"/>
        <v/>
      </c>
      <c r="Q326" s="68">
        <f t="shared" si="52"/>
        <v>0</v>
      </c>
      <c r="R326" s="102" t="str">
        <f t="shared" ref="R326:R389" si="56">IF(M326="","",O326+Q326)</f>
        <v/>
      </c>
    </row>
    <row r="327" spans="1:18">
      <c r="A327" s="58" t="str">
        <f t="shared" ref="A327:A390" si="57">IF(C327="","",A326+1)</f>
        <v/>
      </c>
      <c r="B327" s="58"/>
      <c r="C327" s="57"/>
      <c r="D327" s="58"/>
      <c r="E327" s="58"/>
      <c r="F327" s="58"/>
      <c r="G327" s="58"/>
      <c r="H327" s="58"/>
      <c r="I327" s="58"/>
      <c r="J327" s="58" t="str">
        <f t="shared" si="53"/>
        <v/>
      </c>
      <c r="K327" s="58" t="str">
        <f t="shared" si="54"/>
        <v/>
      </c>
      <c r="L327" s="59" t="str">
        <f>IF(C327="","",DATEDIF(C327,'Premium Table'!$B$6,"Y"))</f>
        <v/>
      </c>
      <c r="M327" s="59" t="str">
        <f t="shared" ref="M327:M390" si="58">IF(L327="","",IF(H327="","Choose Plan (DXB/AUH)",IF(H327="DXB",VLOOKUP(L327,$V$55:$W$154,2,FALSE),IF(H327="AUH",VLOOKUP(L327,$V$55:$X$154,3,FALSE),"Choose Plan (DXB/AUH)"))))</f>
        <v/>
      </c>
      <c r="N327" s="59" t="str">
        <f t="shared" si="55"/>
        <v/>
      </c>
      <c r="O327" s="102" t="str">
        <f t="shared" ref="O327:O390" si="59">IF(M327="","",VLOOKUP(N327,$V$5:$BB$17,K327,FALSE))</f>
        <v/>
      </c>
      <c r="P327" s="102" t="str">
        <f t="shared" ref="P327:P390" si="60">IF(L327="","",IF(H327="DXB",46,IF(H327="AUH",51,"")))</f>
        <v/>
      </c>
      <c r="Q327" s="68">
        <f t="shared" ref="Q327:Q390" si="61">IF(AND(LEFT(D327,1)="F",G327="Married",L327&gt;17,L327&lt;P327),HLOOKUP(E327,$W$1:$AA$2,2,FALSE),0)</f>
        <v>0</v>
      </c>
      <c r="R327" s="102" t="str">
        <f t="shared" si="56"/>
        <v/>
      </c>
    </row>
    <row r="328" spans="1:18">
      <c r="A328" s="58" t="str">
        <f t="shared" si="57"/>
        <v/>
      </c>
      <c r="B328" s="58"/>
      <c r="C328" s="57"/>
      <c r="D328" s="58"/>
      <c r="E328" s="58"/>
      <c r="F328" s="58"/>
      <c r="G328" s="58"/>
      <c r="H328" s="58"/>
      <c r="I328" s="58"/>
      <c r="J328" s="58" t="str">
        <f t="shared" si="53"/>
        <v/>
      </c>
      <c r="K328" s="58" t="str">
        <f t="shared" si="54"/>
        <v/>
      </c>
      <c r="L328" s="59" t="str">
        <f>IF(C328="","",DATEDIF(C328,'Premium Table'!$B$6,"Y"))</f>
        <v/>
      </c>
      <c r="M328" s="59" t="str">
        <f t="shared" si="58"/>
        <v/>
      </c>
      <c r="N328" s="59" t="str">
        <f t="shared" si="55"/>
        <v/>
      </c>
      <c r="O328" s="102" t="str">
        <f t="shared" si="59"/>
        <v/>
      </c>
      <c r="P328" s="102" t="str">
        <f t="shared" si="60"/>
        <v/>
      </c>
      <c r="Q328" s="68">
        <f t="shared" si="61"/>
        <v>0</v>
      </c>
      <c r="R328" s="102" t="str">
        <f t="shared" si="56"/>
        <v/>
      </c>
    </row>
    <row r="329" spans="1:18">
      <c r="A329" s="58" t="str">
        <f t="shared" si="57"/>
        <v/>
      </c>
      <c r="B329" s="58"/>
      <c r="C329" s="57"/>
      <c r="D329" s="58"/>
      <c r="E329" s="58"/>
      <c r="F329" s="58"/>
      <c r="G329" s="58"/>
      <c r="H329" s="58"/>
      <c r="I329" s="58"/>
      <c r="J329" s="58" t="str">
        <f t="shared" si="53"/>
        <v/>
      </c>
      <c r="K329" s="58" t="str">
        <f t="shared" si="54"/>
        <v/>
      </c>
      <c r="L329" s="59" t="str">
        <f>IF(C329="","",DATEDIF(C329,'Premium Table'!$B$6,"Y"))</f>
        <v/>
      </c>
      <c r="M329" s="59" t="str">
        <f t="shared" si="58"/>
        <v/>
      </c>
      <c r="N329" s="59" t="str">
        <f t="shared" si="55"/>
        <v/>
      </c>
      <c r="O329" s="102" t="str">
        <f t="shared" si="59"/>
        <v/>
      </c>
      <c r="P329" s="102" t="str">
        <f t="shared" si="60"/>
        <v/>
      </c>
      <c r="Q329" s="68">
        <f t="shared" si="61"/>
        <v>0</v>
      </c>
      <c r="R329" s="102" t="str">
        <f t="shared" si="56"/>
        <v/>
      </c>
    </row>
    <row r="330" spans="1:18">
      <c r="A330" s="58" t="str">
        <f t="shared" si="57"/>
        <v/>
      </c>
      <c r="B330" s="58"/>
      <c r="C330" s="57"/>
      <c r="D330" s="58"/>
      <c r="E330" s="58"/>
      <c r="F330" s="58"/>
      <c r="G330" s="58"/>
      <c r="H330" s="58"/>
      <c r="I330" s="58"/>
      <c r="J330" s="58" t="str">
        <f t="shared" si="53"/>
        <v/>
      </c>
      <c r="K330" s="58" t="str">
        <f t="shared" si="54"/>
        <v/>
      </c>
      <c r="L330" s="59" t="str">
        <f>IF(C330="","",DATEDIF(C330,'Premium Table'!$B$6,"Y"))</f>
        <v/>
      </c>
      <c r="M330" s="59" t="str">
        <f t="shared" si="58"/>
        <v/>
      </c>
      <c r="N330" s="59" t="str">
        <f t="shared" si="55"/>
        <v/>
      </c>
      <c r="O330" s="102" t="str">
        <f t="shared" si="59"/>
        <v/>
      </c>
      <c r="P330" s="102" t="str">
        <f t="shared" si="60"/>
        <v/>
      </c>
      <c r="Q330" s="68">
        <f t="shared" si="61"/>
        <v>0</v>
      </c>
      <c r="R330" s="102" t="str">
        <f t="shared" si="56"/>
        <v/>
      </c>
    </row>
    <row r="331" spans="1:18">
      <c r="A331" s="58" t="str">
        <f t="shared" si="57"/>
        <v/>
      </c>
      <c r="B331" s="58"/>
      <c r="C331" s="57"/>
      <c r="D331" s="58"/>
      <c r="E331" s="58"/>
      <c r="F331" s="58"/>
      <c r="G331" s="58"/>
      <c r="H331" s="58"/>
      <c r="I331" s="58"/>
      <c r="J331" s="58" t="str">
        <f t="shared" si="53"/>
        <v/>
      </c>
      <c r="K331" s="58" t="str">
        <f t="shared" si="54"/>
        <v/>
      </c>
      <c r="L331" s="59" t="str">
        <f>IF(C331="","",DATEDIF(C331,'Premium Table'!$B$6,"Y"))</f>
        <v/>
      </c>
      <c r="M331" s="59" t="str">
        <f t="shared" si="58"/>
        <v/>
      </c>
      <c r="N331" s="59" t="str">
        <f t="shared" si="55"/>
        <v/>
      </c>
      <c r="O331" s="102" t="str">
        <f t="shared" si="59"/>
        <v/>
      </c>
      <c r="P331" s="102" t="str">
        <f t="shared" si="60"/>
        <v/>
      </c>
      <c r="Q331" s="68">
        <f t="shared" si="61"/>
        <v>0</v>
      </c>
      <c r="R331" s="102" t="str">
        <f t="shared" si="56"/>
        <v/>
      </c>
    </row>
    <row r="332" spans="1:18">
      <c r="A332" s="58" t="str">
        <f t="shared" si="57"/>
        <v/>
      </c>
      <c r="B332" s="58"/>
      <c r="C332" s="57"/>
      <c r="D332" s="58"/>
      <c r="E332" s="58"/>
      <c r="F332" s="58"/>
      <c r="G332" s="58"/>
      <c r="H332" s="58"/>
      <c r="I332" s="58"/>
      <c r="J332" s="58" t="str">
        <f t="shared" si="53"/>
        <v/>
      </c>
      <c r="K332" s="58" t="str">
        <f t="shared" si="54"/>
        <v/>
      </c>
      <c r="L332" s="59" t="str">
        <f>IF(C332="","",DATEDIF(C332,'Premium Table'!$B$6,"Y"))</f>
        <v/>
      </c>
      <c r="M332" s="59" t="str">
        <f t="shared" si="58"/>
        <v/>
      </c>
      <c r="N332" s="59" t="str">
        <f t="shared" si="55"/>
        <v/>
      </c>
      <c r="O332" s="102" t="str">
        <f t="shared" si="59"/>
        <v/>
      </c>
      <c r="P332" s="102" t="str">
        <f t="shared" si="60"/>
        <v/>
      </c>
      <c r="Q332" s="68">
        <f t="shared" si="61"/>
        <v>0</v>
      </c>
      <c r="R332" s="102" t="str">
        <f t="shared" si="56"/>
        <v/>
      </c>
    </row>
    <row r="333" spans="1:18">
      <c r="A333" s="58" t="str">
        <f t="shared" si="57"/>
        <v/>
      </c>
      <c r="B333" s="58"/>
      <c r="C333" s="57"/>
      <c r="D333" s="58"/>
      <c r="E333" s="58"/>
      <c r="F333" s="58"/>
      <c r="G333" s="58"/>
      <c r="H333" s="58"/>
      <c r="I333" s="58"/>
      <c r="J333" s="58" t="str">
        <f t="shared" si="53"/>
        <v/>
      </c>
      <c r="K333" s="58" t="str">
        <f t="shared" si="54"/>
        <v/>
      </c>
      <c r="L333" s="59" t="str">
        <f>IF(C333="","",DATEDIF(C333,'Premium Table'!$B$6,"Y"))</f>
        <v/>
      </c>
      <c r="M333" s="59" t="str">
        <f t="shared" si="58"/>
        <v/>
      </c>
      <c r="N333" s="59" t="str">
        <f t="shared" si="55"/>
        <v/>
      </c>
      <c r="O333" s="102" t="str">
        <f t="shared" si="59"/>
        <v/>
      </c>
      <c r="P333" s="102" t="str">
        <f t="shared" si="60"/>
        <v/>
      </c>
      <c r="Q333" s="68">
        <f t="shared" si="61"/>
        <v>0</v>
      </c>
      <c r="R333" s="102" t="str">
        <f t="shared" si="56"/>
        <v/>
      </c>
    </row>
    <row r="334" spans="1:18">
      <c r="A334" s="58" t="str">
        <f t="shared" si="57"/>
        <v/>
      </c>
      <c r="B334" s="58"/>
      <c r="C334" s="57"/>
      <c r="D334" s="58"/>
      <c r="E334" s="58"/>
      <c r="F334" s="58"/>
      <c r="G334" s="58"/>
      <c r="H334" s="58"/>
      <c r="I334" s="58"/>
      <c r="J334" s="58" t="str">
        <f t="shared" si="53"/>
        <v/>
      </c>
      <c r="K334" s="58" t="str">
        <f t="shared" si="54"/>
        <v/>
      </c>
      <c r="L334" s="59" t="str">
        <f>IF(C334="","",DATEDIF(C334,'Premium Table'!$B$6,"Y"))</f>
        <v/>
      </c>
      <c r="M334" s="59" t="str">
        <f t="shared" si="58"/>
        <v/>
      </c>
      <c r="N334" s="59" t="str">
        <f t="shared" si="55"/>
        <v/>
      </c>
      <c r="O334" s="102" t="str">
        <f t="shared" si="59"/>
        <v/>
      </c>
      <c r="P334" s="102" t="str">
        <f t="shared" si="60"/>
        <v/>
      </c>
      <c r="Q334" s="68">
        <f t="shared" si="61"/>
        <v>0</v>
      </c>
      <c r="R334" s="102" t="str">
        <f t="shared" si="56"/>
        <v/>
      </c>
    </row>
    <row r="335" spans="1:18">
      <c r="A335" s="58" t="str">
        <f t="shared" si="57"/>
        <v/>
      </c>
      <c r="B335" s="58"/>
      <c r="C335" s="57"/>
      <c r="D335" s="58"/>
      <c r="E335" s="58"/>
      <c r="F335" s="58"/>
      <c r="G335" s="58"/>
      <c r="H335" s="58"/>
      <c r="I335" s="58"/>
      <c r="J335" s="58" t="str">
        <f t="shared" si="53"/>
        <v/>
      </c>
      <c r="K335" s="58" t="str">
        <f t="shared" si="54"/>
        <v/>
      </c>
      <c r="L335" s="59" t="str">
        <f>IF(C335="","",DATEDIF(C335,'Premium Table'!$B$6,"Y"))</f>
        <v/>
      </c>
      <c r="M335" s="59" t="str">
        <f t="shared" si="58"/>
        <v/>
      </c>
      <c r="N335" s="59" t="str">
        <f t="shared" si="55"/>
        <v/>
      </c>
      <c r="O335" s="102" t="str">
        <f t="shared" si="59"/>
        <v/>
      </c>
      <c r="P335" s="102" t="str">
        <f t="shared" si="60"/>
        <v/>
      </c>
      <c r="Q335" s="68">
        <f t="shared" si="61"/>
        <v>0</v>
      </c>
      <c r="R335" s="102" t="str">
        <f t="shared" si="56"/>
        <v/>
      </c>
    </row>
    <row r="336" spans="1:18">
      <c r="A336" s="58" t="str">
        <f t="shared" si="57"/>
        <v/>
      </c>
      <c r="B336" s="58"/>
      <c r="C336" s="57"/>
      <c r="D336" s="58"/>
      <c r="E336" s="58"/>
      <c r="F336" s="58"/>
      <c r="G336" s="58"/>
      <c r="H336" s="58"/>
      <c r="I336" s="58"/>
      <c r="J336" s="58" t="str">
        <f t="shared" si="53"/>
        <v/>
      </c>
      <c r="K336" s="58" t="str">
        <f t="shared" si="54"/>
        <v/>
      </c>
      <c r="L336" s="59" t="str">
        <f>IF(C336="","",DATEDIF(C336,'Premium Table'!$B$6,"Y"))</f>
        <v/>
      </c>
      <c r="M336" s="59" t="str">
        <f t="shared" si="58"/>
        <v/>
      </c>
      <c r="N336" s="59" t="str">
        <f t="shared" si="55"/>
        <v/>
      </c>
      <c r="O336" s="102" t="str">
        <f t="shared" si="59"/>
        <v/>
      </c>
      <c r="P336" s="102" t="str">
        <f t="shared" si="60"/>
        <v/>
      </c>
      <c r="Q336" s="68">
        <f t="shared" si="61"/>
        <v>0</v>
      </c>
      <c r="R336" s="102" t="str">
        <f t="shared" si="56"/>
        <v/>
      </c>
    </row>
    <row r="337" spans="1:18">
      <c r="A337" s="58" t="str">
        <f t="shared" si="57"/>
        <v/>
      </c>
      <c r="B337" s="58"/>
      <c r="C337" s="57"/>
      <c r="D337" s="58"/>
      <c r="E337" s="58"/>
      <c r="F337" s="58"/>
      <c r="G337" s="58"/>
      <c r="H337" s="58"/>
      <c r="I337" s="58"/>
      <c r="J337" s="58" t="str">
        <f t="shared" si="53"/>
        <v/>
      </c>
      <c r="K337" s="58" t="str">
        <f t="shared" si="54"/>
        <v/>
      </c>
      <c r="L337" s="59" t="str">
        <f>IF(C337="","",DATEDIF(C337,'Premium Table'!$B$6,"Y"))</f>
        <v/>
      </c>
      <c r="M337" s="59" t="str">
        <f t="shared" si="58"/>
        <v/>
      </c>
      <c r="N337" s="59" t="str">
        <f t="shared" si="55"/>
        <v/>
      </c>
      <c r="O337" s="102" t="str">
        <f t="shared" si="59"/>
        <v/>
      </c>
      <c r="P337" s="102" t="str">
        <f t="shared" si="60"/>
        <v/>
      </c>
      <c r="Q337" s="68">
        <f t="shared" si="61"/>
        <v>0</v>
      </c>
      <c r="R337" s="102" t="str">
        <f t="shared" si="56"/>
        <v/>
      </c>
    </row>
    <row r="338" spans="1:18">
      <c r="A338" s="58" t="str">
        <f t="shared" si="57"/>
        <v/>
      </c>
      <c r="B338" s="58"/>
      <c r="C338" s="57"/>
      <c r="D338" s="58"/>
      <c r="E338" s="58"/>
      <c r="F338" s="58"/>
      <c r="G338" s="58"/>
      <c r="H338" s="58"/>
      <c r="I338" s="58"/>
      <c r="J338" s="58" t="str">
        <f t="shared" si="53"/>
        <v/>
      </c>
      <c r="K338" s="58" t="str">
        <f t="shared" si="54"/>
        <v/>
      </c>
      <c r="L338" s="59" t="str">
        <f>IF(C338="","",DATEDIF(C338,'Premium Table'!$B$6,"Y"))</f>
        <v/>
      </c>
      <c r="M338" s="59" t="str">
        <f t="shared" si="58"/>
        <v/>
      </c>
      <c r="N338" s="59" t="str">
        <f t="shared" si="55"/>
        <v/>
      </c>
      <c r="O338" s="102" t="str">
        <f t="shared" si="59"/>
        <v/>
      </c>
      <c r="P338" s="102" t="str">
        <f t="shared" si="60"/>
        <v/>
      </c>
      <c r="Q338" s="68">
        <f t="shared" si="61"/>
        <v>0</v>
      </c>
      <c r="R338" s="102" t="str">
        <f t="shared" si="56"/>
        <v/>
      </c>
    </row>
    <row r="339" spans="1:18">
      <c r="A339" s="58" t="str">
        <f t="shared" si="57"/>
        <v/>
      </c>
      <c r="B339" s="58"/>
      <c r="C339" s="57"/>
      <c r="D339" s="58"/>
      <c r="E339" s="58"/>
      <c r="F339" s="58"/>
      <c r="G339" s="58"/>
      <c r="H339" s="58"/>
      <c r="I339" s="58"/>
      <c r="J339" s="58" t="str">
        <f t="shared" si="53"/>
        <v/>
      </c>
      <c r="K339" s="58" t="str">
        <f t="shared" si="54"/>
        <v/>
      </c>
      <c r="L339" s="59" t="str">
        <f>IF(C339="","",DATEDIF(C339,'Premium Table'!$B$6,"Y"))</f>
        <v/>
      </c>
      <c r="M339" s="59" t="str">
        <f t="shared" si="58"/>
        <v/>
      </c>
      <c r="N339" s="59" t="str">
        <f t="shared" si="55"/>
        <v/>
      </c>
      <c r="O339" s="102" t="str">
        <f t="shared" si="59"/>
        <v/>
      </c>
      <c r="P339" s="102" t="str">
        <f t="shared" si="60"/>
        <v/>
      </c>
      <c r="Q339" s="68">
        <f t="shared" si="61"/>
        <v>0</v>
      </c>
      <c r="R339" s="102" t="str">
        <f t="shared" si="56"/>
        <v/>
      </c>
    </row>
    <row r="340" spans="1:18">
      <c r="A340" s="58" t="str">
        <f t="shared" si="57"/>
        <v/>
      </c>
      <c r="B340" s="58"/>
      <c r="C340" s="57"/>
      <c r="D340" s="58"/>
      <c r="E340" s="58"/>
      <c r="F340" s="58"/>
      <c r="G340" s="58"/>
      <c r="H340" s="58"/>
      <c r="I340" s="58"/>
      <c r="J340" s="58" t="str">
        <f t="shared" si="53"/>
        <v/>
      </c>
      <c r="K340" s="58" t="str">
        <f t="shared" si="54"/>
        <v/>
      </c>
      <c r="L340" s="59" t="str">
        <f>IF(C340="","",DATEDIF(C340,'Premium Table'!$B$6,"Y"))</f>
        <v/>
      </c>
      <c r="M340" s="59" t="str">
        <f t="shared" si="58"/>
        <v/>
      </c>
      <c r="N340" s="59" t="str">
        <f t="shared" si="55"/>
        <v/>
      </c>
      <c r="O340" s="102" t="str">
        <f t="shared" si="59"/>
        <v/>
      </c>
      <c r="P340" s="102" t="str">
        <f t="shared" si="60"/>
        <v/>
      </c>
      <c r="Q340" s="68">
        <f t="shared" si="61"/>
        <v>0</v>
      </c>
      <c r="R340" s="102" t="str">
        <f t="shared" si="56"/>
        <v/>
      </c>
    </row>
    <row r="341" spans="1:18">
      <c r="A341" s="58" t="str">
        <f t="shared" si="57"/>
        <v/>
      </c>
      <c r="B341" s="58"/>
      <c r="C341" s="57"/>
      <c r="D341" s="58"/>
      <c r="E341" s="58"/>
      <c r="F341" s="58"/>
      <c r="G341" s="58"/>
      <c r="H341" s="58"/>
      <c r="I341" s="58"/>
      <c r="J341" s="58" t="str">
        <f t="shared" si="53"/>
        <v/>
      </c>
      <c r="K341" s="58" t="str">
        <f t="shared" si="54"/>
        <v/>
      </c>
      <c r="L341" s="59" t="str">
        <f>IF(C341="","",DATEDIF(C341,'Premium Table'!$B$6,"Y"))</f>
        <v/>
      </c>
      <c r="M341" s="59" t="str">
        <f t="shared" si="58"/>
        <v/>
      </c>
      <c r="N341" s="59" t="str">
        <f t="shared" si="55"/>
        <v/>
      </c>
      <c r="O341" s="102" t="str">
        <f t="shared" si="59"/>
        <v/>
      </c>
      <c r="P341" s="102" t="str">
        <f t="shared" si="60"/>
        <v/>
      </c>
      <c r="Q341" s="68">
        <f t="shared" si="61"/>
        <v>0</v>
      </c>
      <c r="R341" s="102" t="str">
        <f t="shared" si="56"/>
        <v/>
      </c>
    </row>
    <row r="342" spans="1:18">
      <c r="A342" s="58" t="str">
        <f t="shared" si="57"/>
        <v/>
      </c>
      <c r="B342" s="58"/>
      <c r="C342" s="57"/>
      <c r="D342" s="58"/>
      <c r="E342" s="58"/>
      <c r="F342" s="58"/>
      <c r="G342" s="58"/>
      <c r="H342" s="58"/>
      <c r="I342" s="58"/>
      <c r="J342" s="58" t="str">
        <f t="shared" si="53"/>
        <v/>
      </c>
      <c r="K342" s="58" t="str">
        <f t="shared" si="54"/>
        <v/>
      </c>
      <c r="L342" s="59" t="str">
        <f>IF(C342="","",DATEDIF(C342,'Premium Table'!$B$6,"Y"))</f>
        <v/>
      </c>
      <c r="M342" s="59" t="str">
        <f t="shared" si="58"/>
        <v/>
      </c>
      <c r="N342" s="59" t="str">
        <f t="shared" si="55"/>
        <v/>
      </c>
      <c r="O342" s="102" t="str">
        <f t="shared" si="59"/>
        <v/>
      </c>
      <c r="P342" s="102" t="str">
        <f t="shared" si="60"/>
        <v/>
      </c>
      <c r="Q342" s="68">
        <f t="shared" si="61"/>
        <v>0</v>
      </c>
      <c r="R342" s="102" t="str">
        <f t="shared" si="56"/>
        <v/>
      </c>
    </row>
    <row r="343" spans="1:18">
      <c r="A343" s="58" t="str">
        <f t="shared" si="57"/>
        <v/>
      </c>
      <c r="B343" s="58"/>
      <c r="C343" s="57"/>
      <c r="D343" s="58"/>
      <c r="E343" s="58"/>
      <c r="F343" s="58"/>
      <c r="G343" s="58"/>
      <c r="H343" s="58"/>
      <c r="I343" s="58"/>
      <c r="J343" s="58" t="str">
        <f t="shared" si="53"/>
        <v/>
      </c>
      <c r="K343" s="58" t="str">
        <f t="shared" si="54"/>
        <v/>
      </c>
      <c r="L343" s="59" t="str">
        <f>IF(C343="","",DATEDIF(C343,'Premium Table'!$B$6,"Y"))</f>
        <v/>
      </c>
      <c r="M343" s="59" t="str">
        <f t="shared" si="58"/>
        <v/>
      </c>
      <c r="N343" s="59" t="str">
        <f t="shared" si="55"/>
        <v/>
      </c>
      <c r="O343" s="102" t="str">
        <f t="shared" si="59"/>
        <v/>
      </c>
      <c r="P343" s="102" t="str">
        <f t="shared" si="60"/>
        <v/>
      </c>
      <c r="Q343" s="68">
        <f t="shared" si="61"/>
        <v>0</v>
      </c>
      <c r="R343" s="102" t="str">
        <f t="shared" si="56"/>
        <v/>
      </c>
    </row>
    <row r="344" spans="1:18">
      <c r="A344" s="58" t="str">
        <f t="shared" si="57"/>
        <v/>
      </c>
      <c r="B344" s="58"/>
      <c r="C344" s="57"/>
      <c r="D344" s="58"/>
      <c r="E344" s="58"/>
      <c r="F344" s="58"/>
      <c r="G344" s="58"/>
      <c r="H344" s="58"/>
      <c r="I344" s="58"/>
      <c r="J344" s="58" t="str">
        <f t="shared" si="53"/>
        <v/>
      </c>
      <c r="K344" s="58" t="str">
        <f t="shared" si="54"/>
        <v/>
      </c>
      <c r="L344" s="59" t="str">
        <f>IF(C344="","",DATEDIF(C344,'Premium Table'!$B$6,"Y"))</f>
        <v/>
      </c>
      <c r="M344" s="59" t="str">
        <f t="shared" si="58"/>
        <v/>
      </c>
      <c r="N344" s="59" t="str">
        <f t="shared" si="55"/>
        <v/>
      </c>
      <c r="O344" s="102" t="str">
        <f t="shared" si="59"/>
        <v/>
      </c>
      <c r="P344" s="102" t="str">
        <f t="shared" si="60"/>
        <v/>
      </c>
      <c r="Q344" s="68">
        <f t="shared" si="61"/>
        <v>0</v>
      </c>
      <c r="R344" s="102" t="str">
        <f t="shared" si="56"/>
        <v/>
      </c>
    </row>
    <row r="345" spans="1:18">
      <c r="A345" s="58" t="str">
        <f t="shared" si="57"/>
        <v/>
      </c>
      <c r="B345" s="58"/>
      <c r="C345" s="57"/>
      <c r="D345" s="58"/>
      <c r="E345" s="58"/>
      <c r="F345" s="58"/>
      <c r="G345" s="58"/>
      <c r="H345" s="58"/>
      <c r="I345" s="58"/>
      <c r="J345" s="58" t="str">
        <f t="shared" si="53"/>
        <v/>
      </c>
      <c r="K345" s="58" t="str">
        <f t="shared" si="54"/>
        <v/>
      </c>
      <c r="L345" s="59" t="str">
        <f>IF(C345="","",DATEDIF(C345,'Premium Table'!$B$6,"Y"))</f>
        <v/>
      </c>
      <c r="M345" s="59" t="str">
        <f t="shared" si="58"/>
        <v/>
      </c>
      <c r="N345" s="59" t="str">
        <f t="shared" si="55"/>
        <v/>
      </c>
      <c r="O345" s="102" t="str">
        <f t="shared" si="59"/>
        <v/>
      </c>
      <c r="P345" s="102" t="str">
        <f t="shared" si="60"/>
        <v/>
      </c>
      <c r="Q345" s="68">
        <f t="shared" si="61"/>
        <v>0</v>
      </c>
      <c r="R345" s="102" t="str">
        <f t="shared" si="56"/>
        <v/>
      </c>
    </row>
    <row r="346" spans="1:18">
      <c r="A346" s="58" t="str">
        <f t="shared" si="57"/>
        <v/>
      </c>
      <c r="B346" s="58"/>
      <c r="C346" s="57"/>
      <c r="D346" s="58"/>
      <c r="E346" s="58"/>
      <c r="F346" s="58"/>
      <c r="G346" s="58"/>
      <c r="H346" s="58"/>
      <c r="I346" s="58"/>
      <c r="J346" s="58" t="str">
        <f t="shared" si="53"/>
        <v/>
      </c>
      <c r="K346" s="58" t="str">
        <f t="shared" si="54"/>
        <v/>
      </c>
      <c r="L346" s="59" t="str">
        <f>IF(C346="","",DATEDIF(C346,'Premium Table'!$B$6,"Y"))</f>
        <v/>
      </c>
      <c r="M346" s="59" t="str">
        <f t="shared" si="58"/>
        <v/>
      </c>
      <c r="N346" s="59" t="str">
        <f t="shared" si="55"/>
        <v/>
      </c>
      <c r="O346" s="102" t="str">
        <f t="shared" si="59"/>
        <v/>
      </c>
      <c r="P346" s="102" t="str">
        <f t="shared" si="60"/>
        <v/>
      </c>
      <c r="Q346" s="68">
        <f t="shared" si="61"/>
        <v>0</v>
      </c>
      <c r="R346" s="102" t="str">
        <f t="shared" si="56"/>
        <v/>
      </c>
    </row>
    <row r="347" spans="1:18">
      <c r="A347" s="58" t="str">
        <f t="shared" si="57"/>
        <v/>
      </c>
      <c r="B347" s="58"/>
      <c r="C347" s="57"/>
      <c r="D347" s="58"/>
      <c r="E347" s="58"/>
      <c r="F347" s="58"/>
      <c r="G347" s="58"/>
      <c r="H347" s="58"/>
      <c r="I347" s="58"/>
      <c r="J347" s="58" t="str">
        <f t="shared" si="53"/>
        <v/>
      </c>
      <c r="K347" s="58" t="str">
        <f t="shared" si="54"/>
        <v/>
      </c>
      <c r="L347" s="59" t="str">
        <f>IF(C347="","",DATEDIF(C347,'Premium Table'!$B$6,"Y"))</f>
        <v/>
      </c>
      <c r="M347" s="59" t="str">
        <f t="shared" si="58"/>
        <v/>
      </c>
      <c r="N347" s="59" t="str">
        <f t="shared" si="55"/>
        <v/>
      </c>
      <c r="O347" s="102" t="str">
        <f t="shared" si="59"/>
        <v/>
      </c>
      <c r="P347" s="102" t="str">
        <f t="shared" si="60"/>
        <v/>
      </c>
      <c r="Q347" s="68">
        <f t="shared" si="61"/>
        <v>0</v>
      </c>
      <c r="R347" s="102" t="str">
        <f t="shared" si="56"/>
        <v/>
      </c>
    </row>
    <row r="348" spans="1:18">
      <c r="A348" s="58" t="str">
        <f t="shared" si="57"/>
        <v/>
      </c>
      <c r="B348" s="58"/>
      <c r="C348" s="57"/>
      <c r="D348" s="58"/>
      <c r="E348" s="58"/>
      <c r="F348" s="58"/>
      <c r="G348" s="58"/>
      <c r="H348" s="58"/>
      <c r="I348" s="58"/>
      <c r="J348" s="58" t="str">
        <f t="shared" si="53"/>
        <v/>
      </c>
      <c r="K348" s="58" t="str">
        <f t="shared" si="54"/>
        <v/>
      </c>
      <c r="L348" s="59" t="str">
        <f>IF(C348="","",DATEDIF(C348,'Premium Table'!$B$6,"Y"))</f>
        <v/>
      </c>
      <c r="M348" s="59" t="str">
        <f t="shared" si="58"/>
        <v/>
      </c>
      <c r="N348" s="59" t="str">
        <f t="shared" si="55"/>
        <v/>
      </c>
      <c r="O348" s="102" t="str">
        <f t="shared" si="59"/>
        <v/>
      </c>
      <c r="P348" s="102" t="str">
        <f t="shared" si="60"/>
        <v/>
      </c>
      <c r="Q348" s="68">
        <f t="shared" si="61"/>
        <v>0</v>
      </c>
      <c r="R348" s="102" t="str">
        <f t="shared" si="56"/>
        <v/>
      </c>
    </row>
    <row r="349" spans="1:18">
      <c r="A349" s="58" t="str">
        <f t="shared" si="57"/>
        <v/>
      </c>
      <c r="B349" s="58"/>
      <c r="C349" s="57"/>
      <c r="D349" s="58"/>
      <c r="E349" s="58"/>
      <c r="F349" s="58"/>
      <c r="G349" s="58"/>
      <c r="H349" s="58"/>
      <c r="I349" s="58"/>
      <c r="J349" s="58" t="str">
        <f t="shared" si="53"/>
        <v/>
      </c>
      <c r="K349" s="58" t="str">
        <f t="shared" si="54"/>
        <v/>
      </c>
      <c r="L349" s="59" t="str">
        <f>IF(C349="","",DATEDIF(C349,'Premium Table'!$B$6,"Y"))</f>
        <v/>
      </c>
      <c r="M349" s="59" t="str">
        <f t="shared" si="58"/>
        <v/>
      </c>
      <c r="N349" s="59" t="str">
        <f t="shared" si="55"/>
        <v/>
      </c>
      <c r="O349" s="102" t="str">
        <f t="shared" si="59"/>
        <v/>
      </c>
      <c r="P349" s="102" t="str">
        <f t="shared" si="60"/>
        <v/>
      </c>
      <c r="Q349" s="68">
        <f t="shared" si="61"/>
        <v>0</v>
      </c>
      <c r="R349" s="102" t="str">
        <f t="shared" si="56"/>
        <v/>
      </c>
    </row>
    <row r="350" spans="1:18">
      <c r="A350" s="58" t="str">
        <f t="shared" si="57"/>
        <v/>
      </c>
      <c r="B350" s="58"/>
      <c r="C350" s="57"/>
      <c r="D350" s="58"/>
      <c r="E350" s="58"/>
      <c r="F350" s="58"/>
      <c r="G350" s="58"/>
      <c r="H350" s="58"/>
      <c r="I350" s="58"/>
      <c r="J350" s="58" t="str">
        <f t="shared" si="53"/>
        <v/>
      </c>
      <c r="K350" s="58" t="str">
        <f t="shared" si="54"/>
        <v/>
      </c>
      <c r="L350" s="59" t="str">
        <f>IF(C350="","",DATEDIF(C350,'Premium Table'!$B$6,"Y"))</f>
        <v/>
      </c>
      <c r="M350" s="59" t="str">
        <f t="shared" si="58"/>
        <v/>
      </c>
      <c r="N350" s="59" t="str">
        <f t="shared" si="55"/>
        <v/>
      </c>
      <c r="O350" s="102" t="str">
        <f t="shared" si="59"/>
        <v/>
      </c>
      <c r="P350" s="102" t="str">
        <f t="shared" si="60"/>
        <v/>
      </c>
      <c r="Q350" s="68">
        <f t="shared" si="61"/>
        <v>0</v>
      </c>
      <c r="R350" s="102" t="str">
        <f t="shared" si="56"/>
        <v/>
      </c>
    </row>
    <row r="351" spans="1:18">
      <c r="A351" s="58" t="str">
        <f t="shared" si="57"/>
        <v/>
      </c>
      <c r="B351" s="58"/>
      <c r="C351" s="57"/>
      <c r="D351" s="58"/>
      <c r="E351" s="58"/>
      <c r="F351" s="58"/>
      <c r="G351" s="58"/>
      <c r="H351" s="58"/>
      <c r="I351" s="58"/>
      <c r="J351" s="58" t="str">
        <f t="shared" si="53"/>
        <v/>
      </c>
      <c r="K351" s="58" t="str">
        <f t="shared" si="54"/>
        <v/>
      </c>
      <c r="L351" s="59" t="str">
        <f>IF(C351="","",DATEDIF(C351,'Premium Table'!$B$6,"Y"))</f>
        <v/>
      </c>
      <c r="M351" s="59" t="str">
        <f t="shared" si="58"/>
        <v/>
      </c>
      <c r="N351" s="59" t="str">
        <f t="shared" si="55"/>
        <v/>
      </c>
      <c r="O351" s="102" t="str">
        <f t="shared" si="59"/>
        <v/>
      </c>
      <c r="P351" s="102" t="str">
        <f t="shared" si="60"/>
        <v/>
      </c>
      <c r="Q351" s="68">
        <f t="shared" si="61"/>
        <v>0</v>
      </c>
      <c r="R351" s="102" t="str">
        <f t="shared" si="56"/>
        <v/>
      </c>
    </row>
    <row r="352" spans="1:18">
      <c r="A352" s="58" t="str">
        <f t="shared" si="57"/>
        <v/>
      </c>
      <c r="B352" s="58"/>
      <c r="C352" s="57"/>
      <c r="D352" s="58"/>
      <c r="E352" s="58"/>
      <c r="F352" s="58"/>
      <c r="G352" s="58"/>
      <c r="H352" s="58"/>
      <c r="I352" s="58"/>
      <c r="J352" s="58" t="str">
        <f t="shared" si="53"/>
        <v/>
      </c>
      <c r="K352" s="58" t="str">
        <f t="shared" si="54"/>
        <v/>
      </c>
      <c r="L352" s="59" t="str">
        <f>IF(C352="","",DATEDIF(C352,'Premium Table'!$B$6,"Y"))</f>
        <v/>
      </c>
      <c r="M352" s="59" t="str">
        <f t="shared" si="58"/>
        <v/>
      </c>
      <c r="N352" s="59" t="str">
        <f t="shared" si="55"/>
        <v/>
      </c>
      <c r="O352" s="102" t="str">
        <f t="shared" si="59"/>
        <v/>
      </c>
      <c r="P352" s="102" t="str">
        <f t="shared" si="60"/>
        <v/>
      </c>
      <c r="Q352" s="68">
        <f t="shared" si="61"/>
        <v>0</v>
      </c>
      <c r="R352" s="102" t="str">
        <f t="shared" si="56"/>
        <v/>
      </c>
    </row>
    <row r="353" spans="1:18">
      <c r="A353" s="58" t="str">
        <f t="shared" si="57"/>
        <v/>
      </c>
      <c r="B353" s="58"/>
      <c r="C353" s="57"/>
      <c r="D353" s="58"/>
      <c r="E353" s="58"/>
      <c r="F353" s="58"/>
      <c r="G353" s="58"/>
      <c r="H353" s="58"/>
      <c r="I353" s="58"/>
      <c r="J353" s="58" t="str">
        <f t="shared" si="53"/>
        <v/>
      </c>
      <c r="K353" s="58" t="str">
        <f t="shared" si="54"/>
        <v/>
      </c>
      <c r="L353" s="59" t="str">
        <f>IF(C353="","",DATEDIF(C353,'Premium Table'!$B$6,"Y"))</f>
        <v/>
      </c>
      <c r="M353" s="59" t="str">
        <f t="shared" si="58"/>
        <v/>
      </c>
      <c r="N353" s="59" t="str">
        <f t="shared" si="55"/>
        <v/>
      </c>
      <c r="O353" s="102" t="str">
        <f t="shared" si="59"/>
        <v/>
      </c>
      <c r="P353" s="102" t="str">
        <f t="shared" si="60"/>
        <v/>
      </c>
      <c r="Q353" s="68">
        <f t="shared" si="61"/>
        <v>0</v>
      </c>
      <c r="R353" s="102" t="str">
        <f t="shared" si="56"/>
        <v/>
      </c>
    </row>
    <row r="354" spans="1:18">
      <c r="A354" s="58" t="str">
        <f t="shared" si="57"/>
        <v/>
      </c>
      <c r="B354" s="58"/>
      <c r="C354" s="57"/>
      <c r="D354" s="58"/>
      <c r="E354" s="58"/>
      <c r="F354" s="58"/>
      <c r="G354" s="58"/>
      <c r="H354" s="58"/>
      <c r="I354" s="58"/>
      <c r="J354" s="58" t="str">
        <f t="shared" si="53"/>
        <v/>
      </c>
      <c r="K354" s="58" t="str">
        <f t="shared" si="54"/>
        <v/>
      </c>
      <c r="L354" s="59" t="str">
        <f>IF(C354="","",DATEDIF(C354,'Premium Table'!$B$6,"Y"))</f>
        <v/>
      </c>
      <c r="M354" s="59" t="str">
        <f t="shared" si="58"/>
        <v/>
      </c>
      <c r="N354" s="59" t="str">
        <f t="shared" si="55"/>
        <v/>
      </c>
      <c r="O354" s="102" t="str">
        <f t="shared" si="59"/>
        <v/>
      </c>
      <c r="P354" s="102" t="str">
        <f t="shared" si="60"/>
        <v/>
      </c>
      <c r="Q354" s="68">
        <f t="shared" si="61"/>
        <v>0</v>
      </c>
      <c r="R354" s="102" t="str">
        <f t="shared" si="56"/>
        <v/>
      </c>
    </row>
    <row r="355" spans="1:18">
      <c r="A355" s="58" t="str">
        <f t="shared" si="57"/>
        <v/>
      </c>
      <c r="B355" s="58"/>
      <c r="C355" s="57"/>
      <c r="D355" s="58"/>
      <c r="E355" s="58"/>
      <c r="F355" s="58"/>
      <c r="G355" s="58"/>
      <c r="H355" s="58"/>
      <c r="I355" s="58"/>
      <c r="J355" s="58" t="str">
        <f t="shared" si="53"/>
        <v/>
      </c>
      <c r="K355" s="58" t="str">
        <f t="shared" si="54"/>
        <v/>
      </c>
      <c r="L355" s="59" t="str">
        <f>IF(C355="","",DATEDIF(C355,'Premium Table'!$B$6,"Y"))</f>
        <v/>
      </c>
      <c r="M355" s="59" t="str">
        <f t="shared" si="58"/>
        <v/>
      </c>
      <c r="N355" s="59" t="str">
        <f t="shared" si="55"/>
        <v/>
      </c>
      <c r="O355" s="102" t="str">
        <f t="shared" si="59"/>
        <v/>
      </c>
      <c r="P355" s="102" t="str">
        <f t="shared" si="60"/>
        <v/>
      </c>
      <c r="Q355" s="68">
        <f t="shared" si="61"/>
        <v>0</v>
      </c>
      <c r="R355" s="102" t="str">
        <f t="shared" si="56"/>
        <v/>
      </c>
    </row>
    <row r="356" spans="1:18">
      <c r="A356" s="58" t="str">
        <f t="shared" si="57"/>
        <v/>
      </c>
      <c r="B356" s="58"/>
      <c r="C356" s="57"/>
      <c r="D356" s="58"/>
      <c r="E356" s="58"/>
      <c r="F356" s="58"/>
      <c r="G356" s="58"/>
      <c r="H356" s="58"/>
      <c r="I356" s="58"/>
      <c r="J356" s="58" t="str">
        <f t="shared" si="53"/>
        <v/>
      </c>
      <c r="K356" s="58" t="str">
        <f t="shared" si="54"/>
        <v/>
      </c>
      <c r="L356" s="59" t="str">
        <f>IF(C356="","",DATEDIF(C356,'Premium Table'!$B$6,"Y"))</f>
        <v/>
      </c>
      <c r="M356" s="59" t="str">
        <f t="shared" si="58"/>
        <v/>
      </c>
      <c r="N356" s="59" t="str">
        <f t="shared" si="55"/>
        <v/>
      </c>
      <c r="O356" s="102" t="str">
        <f t="shared" si="59"/>
        <v/>
      </c>
      <c r="P356" s="102" t="str">
        <f t="shared" si="60"/>
        <v/>
      </c>
      <c r="Q356" s="68">
        <f t="shared" si="61"/>
        <v>0</v>
      </c>
      <c r="R356" s="102" t="str">
        <f t="shared" si="56"/>
        <v/>
      </c>
    </row>
    <row r="357" spans="1:18">
      <c r="A357" s="58" t="str">
        <f t="shared" si="57"/>
        <v/>
      </c>
      <c r="B357" s="58"/>
      <c r="C357" s="57"/>
      <c r="D357" s="58"/>
      <c r="E357" s="58"/>
      <c r="F357" s="58"/>
      <c r="G357" s="58"/>
      <c r="H357" s="58"/>
      <c r="I357" s="58"/>
      <c r="J357" s="58" t="str">
        <f t="shared" si="53"/>
        <v/>
      </c>
      <c r="K357" s="58" t="str">
        <f t="shared" si="54"/>
        <v/>
      </c>
      <c r="L357" s="59" t="str">
        <f>IF(C357="","",DATEDIF(C357,'Premium Table'!$B$6,"Y"))</f>
        <v/>
      </c>
      <c r="M357" s="59" t="str">
        <f t="shared" si="58"/>
        <v/>
      </c>
      <c r="N357" s="59" t="str">
        <f t="shared" si="55"/>
        <v/>
      </c>
      <c r="O357" s="102" t="str">
        <f t="shared" si="59"/>
        <v/>
      </c>
      <c r="P357" s="102" t="str">
        <f t="shared" si="60"/>
        <v/>
      </c>
      <c r="Q357" s="68">
        <f t="shared" si="61"/>
        <v>0</v>
      </c>
      <c r="R357" s="102" t="str">
        <f t="shared" si="56"/>
        <v/>
      </c>
    </row>
    <row r="358" spans="1:18">
      <c r="A358" s="58" t="str">
        <f t="shared" si="57"/>
        <v/>
      </c>
      <c r="B358" s="58"/>
      <c r="C358" s="57"/>
      <c r="D358" s="58"/>
      <c r="E358" s="58"/>
      <c r="F358" s="58"/>
      <c r="G358" s="58"/>
      <c r="H358" s="58"/>
      <c r="I358" s="58"/>
      <c r="J358" s="58" t="str">
        <f t="shared" si="53"/>
        <v/>
      </c>
      <c r="K358" s="58" t="str">
        <f t="shared" si="54"/>
        <v/>
      </c>
      <c r="L358" s="59" t="str">
        <f>IF(C358="","",DATEDIF(C358,'Premium Table'!$B$6,"Y"))</f>
        <v/>
      </c>
      <c r="M358" s="59" t="str">
        <f t="shared" si="58"/>
        <v/>
      </c>
      <c r="N358" s="59" t="str">
        <f t="shared" si="55"/>
        <v/>
      </c>
      <c r="O358" s="102" t="str">
        <f t="shared" si="59"/>
        <v/>
      </c>
      <c r="P358" s="102" t="str">
        <f t="shared" si="60"/>
        <v/>
      </c>
      <c r="Q358" s="68">
        <f t="shared" si="61"/>
        <v>0</v>
      </c>
      <c r="R358" s="102" t="str">
        <f t="shared" si="56"/>
        <v/>
      </c>
    </row>
    <row r="359" spans="1:18">
      <c r="A359" s="58" t="str">
        <f t="shared" si="57"/>
        <v/>
      </c>
      <c r="B359" s="58"/>
      <c r="C359" s="57"/>
      <c r="D359" s="58"/>
      <c r="E359" s="58"/>
      <c r="F359" s="58"/>
      <c r="G359" s="58"/>
      <c r="H359" s="58"/>
      <c r="I359" s="58"/>
      <c r="J359" s="58" t="str">
        <f t="shared" si="53"/>
        <v/>
      </c>
      <c r="K359" s="58" t="str">
        <f t="shared" si="54"/>
        <v/>
      </c>
      <c r="L359" s="59" t="str">
        <f>IF(C359="","",DATEDIF(C359,'Premium Table'!$B$6,"Y"))</f>
        <v/>
      </c>
      <c r="M359" s="59" t="str">
        <f t="shared" si="58"/>
        <v/>
      </c>
      <c r="N359" s="59" t="str">
        <f t="shared" si="55"/>
        <v/>
      </c>
      <c r="O359" s="102" t="str">
        <f t="shared" si="59"/>
        <v/>
      </c>
      <c r="P359" s="102" t="str">
        <f t="shared" si="60"/>
        <v/>
      </c>
      <c r="Q359" s="68">
        <f t="shared" si="61"/>
        <v>0</v>
      </c>
      <c r="R359" s="102" t="str">
        <f t="shared" si="56"/>
        <v/>
      </c>
    </row>
    <row r="360" spans="1:18">
      <c r="A360" s="58" t="str">
        <f t="shared" si="57"/>
        <v/>
      </c>
      <c r="B360" s="58"/>
      <c r="C360" s="57"/>
      <c r="D360" s="58"/>
      <c r="E360" s="58"/>
      <c r="F360" s="58"/>
      <c r="G360" s="58"/>
      <c r="H360" s="58"/>
      <c r="I360" s="58"/>
      <c r="J360" s="58" t="str">
        <f t="shared" si="53"/>
        <v/>
      </c>
      <c r="K360" s="58" t="str">
        <f t="shared" si="54"/>
        <v/>
      </c>
      <c r="L360" s="59" t="str">
        <f>IF(C360="","",DATEDIF(C360,'Premium Table'!$B$6,"Y"))</f>
        <v/>
      </c>
      <c r="M360" s="59" t="str">
        <f t="shared" si="58"/>
        <v/>
      </c>
      <c r="N360" s="59" t="str">
        <f t="shared" si="55"/>
        <v/>
      </c>
      <c r="O360" s="102" t="str">
        <f t="shared" si="59"/>
        <v/>
      </c>
      <c r="P360" s="102" t="str">
        <f t="shared" si="60"/>
        <v/>
      </c>
      <c r="Q360" s="68">
        <f t="shared" si="61"/>
        <v>0</v>
      </c>
      <c r="R360" s="102" t="str">
        <f t="shared" si="56"/>
        <v/>
      </c>
    </row>
    <row r="361" spans="1:18">
      <c r="A361" s="58" t="str">
        <f t="shared" si="57"/>
        <v/>
      </c>
      <c r="B361" s="58"/>
      <c r="C361" s="57"/>
      <c r="D361" s="58"/>
      <c r="E361" s="58"/>
      <c r="F361" s="58"/>
      <c r="G361" s="58"/>
      <c r="H361" s="58"/>
      <c r="I361" s="58"/>
      <c r="J361" s="58" t="str">
        <f t="shared" si="53"/>
        <v/>
      </c>
      <c r="K361" s="58" t="str">
        <f t="shared" si="54"/>
        <v/>
      </c>
      <c r="L361" s="59" t="str">
        <f>IF(C361="","",DATEDIF(C361,'Premium Table'!$B$6,"Y"))</f>
        <v/>
      </c>
      <c r="M361" s="59" t="str">
        <f t="shared" si="58"/>
        <v/>
      </c>
      <c r="N361" s="59" t="str">
        <f t="shared" si="55"/>
        <v/>
      </c>
      <c r="O361" s="102" t="str">
        <f t="shared" si="59"/>
        <v/>
      </c>
      <c r="P361" s="102" t="str">
        <f t="shared" si="60"/>
        <v/>
      </c>
      <c r="Q361" s="68">
        <f t="shared" si="61"/>
        <v>0</v>
      </c>
      <c r="R361" s="102" t="str">
        <f t="shared" si="56"/>
        <v/>
      </c>
    </row>
    <row r="362" spans="1:18">
      <c r="A362" s="58" t="str">
        <f t="shared" si="57"/>
        <v/>
      </c>
      <c r="B362" s="58"/>
      <c r="C362" s="57"/>
      <c r="D362" s="58"/>
      <c r="E362" s="58"/>
      <c r="F362" s="58"/>
      <c r="G362" s="58"/>
      <c r="H362" s="58"/>
      <c r="I362" s="58"/>
      <c r="J362" s="58" t="str">
        <f t="shared" si="53"/>
        <v/>
      </c>
      <c r="K362" s="58" t="str">
        <f t="shared" si="54"/>
        <v/>
      </c>
      <c r="L362" s="59" t="str">
        <f>IF(C362="","",DATEDIF(C362,'Premium Table'!$B$6,"Y"))</f>
        <v/>
      </c>
      <c r="M362" s="59" t="str">
        <f t="shared" si="58"/>
        <v/>
      </c>
      <c r="N362" s="59" t="str">
        <f t="shared" si="55"/>
        <v/>
      </c>
      <c r="O362" s="102" t="str">
        <f t="shared" si="59"/>
        <v/>
      </c>
      <c r="P362" s="102" t="str">
        <f t="shared" si="60"/>
        <v/>
      </c>
      <c r="Q362" s="68">
        <f t="shared" si="61"/>
        <v>0</v>
      </c>
      <c r="R362" s="102" t="str">
        <f t="shared" si="56"/>
        <v/>
      </c>
    </row>
    <row r="363" spans="1:18">
      <c r="A363" s="58" t="str">
        <f t="shared" si="57"/>
        <v/>
      </c>
      <c r="B363" s="58"/>
      <c r="C363" s="57"/>
      <c r="D363" s="58"/>
      <c r="E363" s="58"/>
      <c r="F363" s="58"/>
      <c r="G363" s="58"/>
      <c r="H363" s="58"/>
      <c r="I363" s="58"/>
      <c r="J363" s="58" t="str">
        <f t="shared" si="53"/>
        <v/>
      </c>
      <c r="K363" s="58" t="str">
        <f t="shared" si="54"/>
        <v/>
      </c>
      <c r="L363" s="59" t="str">
        <f>IF(C363="","",DATEDIF(C363,'Premium Table'!$B$6,"Y"))</f>
        <v/>
      </c>
      <c r="M363" s="59" t="str">
        <f t="shared" si="58"/>
        <v/>
      </c>
      <c r="N363" s="59" t="str">
        <f t="shared" si="55"/>
        <v/>
      </c>
      <c r="O363" s="102" t="str">
        <f t="shared" si="59"/>
        <v/>
      </c>
      <c r="P363" s="102" t="str">
        <f t="shared" si="60"/>
        <v/>
      </c>
      <c r="Q363" s="68">
        <f t="shared" si="61"/>
        <v>0</v>
      </c>
      <c r="R363" s="102" t="str">
        <f t="shared" si="56"/>
        <v/>
      </c>
    </row>
    <row r="364" spans="1:18">
      <c r="A364" s="58" t="str">
        <f t="shared" si="57"/>
        <v/>
      </c>
      <c r="B364" s="58"/>
      <c r="C364" s="57"/>
      <c r="D364" s="58"/>
      <c r="E364" s="58"/>
      <c r="F364" s="58"/>
      <c r="G364" s="58"/>
      <c r="H364" s="58"/>
      <c r="I364" s="58"/>
      <c r="J364" s="58" t="str">
        <f t="shared" si="53"/>
        <v/>
      </c>
      <c r="K364" s="58" t="str">
        <f t="shared" si="54"/>
        <v/>
      </c>
      <c r="L364" s="59" t="str">
        <f>IF(C364="","",DATEDIF(C364,'Premium Table'!$B$6,"Y"))</f>
        <v/>
      </c>
      <c r="M364" s="59" t="str">
        <f t="shared" si="58"/>
        <v/>
      </c>
      <c r="N364" s="59" t="str">
        <f t="shared" si="55"/>
        <v/>
      </c>
      <c r="O364" s="102" t="str">
        <f t="shared" si="59"/>
        <v/>
      </c>
      <c r="P364" s="102" t="str">
        <f t="shared" si="60"/>
        <v/>
      </c>
      <c r="Q364" s="68">
        <f t="shared" si="61"/>
        <v>0</v>
      </c>
      <c r="R364" s="102" t="str">
        <f t="shared" si="56"/>
        <v/>
      </c>
    </row>
    <row r="365" spans="1:18">
      <c r="A365" s="58" t="str">
        <f t="shared" si="57"/>
        <v/>
      </c>
      <c r="B365" s="58"/>
      <c r="C365" s="57"/>
      <c r="D365" s="58"/>
      <c r="E365" s="58"/>
      <c r="F365" s="58"/>
      <c r="G365" s="58"/>
      <c r="H365" s="58"/>
      <c r="I365" s="58"/>
      <c r="J365" s="58" t="str">
        <f t="shared" si="53"/>
        <v/>
      </c>
      <c r="K365" s="58" t="str">
        <f t="shared" si="54"/>
        <v/>
      </c>
      <c r="L365" s="59" t="str">
        <f>IF(C365="","",DATEDIF(C365,'Premium Table'!$B$6,"Y"))</f>
        <v/>
      </c>
      <c r="M365" s="59" t="str">
        <f t="shared" si="58"/>
        <v/>
      </c>
      <c r="N365" s="59" t="str">
        <f t="shared" si="55"/>
        <v/>
      </c>
      <c r="O365" s="102" t="str">
        <f t="shared" si="59"/>
        <v/>
      </c>
      <c r="P365" s="102" t="str">
        <f t="shared" si="60"/>
        <v/>
      </c>
      <c r="Q365" s="68">
        <f t="shared" si="61"/>
        <v>0</v>
      </c>
      <c r="R365" s="102" t="str">
        <f t="shared" si="56"/>
        <v/>
      </c>
    </row>
    <row r="366" spans="1:18">
      <c r="A366" s="58" t="str">
        <f t="shared" si="57"/>
        <v/>
      </c>
      <c r="B366" s="58"/>
      <c r="C366" s="57"/>
      <c r="D366" s="58"/>
      <c r="E366" s="58"/>
      <c r="F366" s="58"/>
      <c r="G366" s="58"/>
      <c r="H366" s="58"/>
      <c r="I366" s="58"/>
      <c r="J366" s="58" t="str">
        <f t="shared" si="53"/>
        <v/>
      </c>
      <c r="K366" s="58" t="str">
        <f t="shared" si="54"/>
        <v/>
      </c>
      <c r="L366" s="59" t="str">
        <f>IF(C366="","",DATEDIF(C366,'Premium Table'!$B$6,"Y"))</f>
        <v/>
      </c>
      <c r="M366" s="59" t="str">
        <f t="shared" si="58"/>
        <v/>
      </c>
      <c r="N366" s="59" t="str">
        <f t="shared" si="55"/>
        <v/>
      </c>
      <c r="O366" s="102" t="str">
        <f t="shared" si="59"/>
        <v/>
      </c>
      <c r="P366" s="102" t="str">
        <f t="shared" si="60"/>
        <v/>
      </c>
      <c r="Q366" s="68">
        <f t="shared" si="61"/>
        <v>0</v>
      </c>
      <c r="R366" s="102" t="str">
        <f t="shared" si="56"/>
        <v/>
      </c>
    </row>
    <row r="367" spans="1:18">
      <c r="A367" s="58" t="str">
        <f t="shared" si="57"/>
        <v/>
      </c>
      <c r="B367" s="58"/>
      <c r="C367" s="57"/>
      <c r="D367" s="58"/>
      <c r="E367" s="58"/>
      <c r="F367" s="58"/>
      <c r="G367" s="58"/>
      <c r="H367" s="58"/>
      <c r="I367" s="58"/>
      <c r="J367" s="58" t="str">
        <f t="shared" si="53"/>
        <v/>
      </c>
      <c r="K367" s="58" t="str">
        <f t="shared" si="54"/>
        <v/>
      </c>
      <c r="L367" s="59" t="str">
        <f>IF(C367="","",DATEDIF(C367,'Premium Table'!$B$6,"Y"))</f>
        <v/>
      </c>
      <c r="M367" s="59" t="str">
        <f t="shared" si="58"/>
        <v/>
      </c>
      <c r="N367" s="59" t="str">
        <f t="shared" si="55"/>
        <v/>
      </c>
      <c r="O367" s="102" t="str">
        <f t="shared" si="59"/>
        <v/>
      </c>
      <c r="P367" s="102" t="str">
        <f t="shared" si="60"/>
        <v/>
      </c>
      <c r="Q367" s="68">
        <f t="shared" si="61"/>
        <v>0</v>
      </c>
      <c r="R367" s="102" t="str">
        <f t="shared" si="56"/>
        <v/>
      </c>
    </row>
    <row r="368" spans="1:18">
      <c r="A368" s="58" t="str">
        <f t="shared" si="57"/>
        <v/>
      </c>
      <c r="B368" s="58"/>
      <c r="C368" s="57"/>
      <c r="D368" s="58"/>
      <c r="E368" s="58"/>
      <c r="F368" s="58"/>
      <c r="G368" s="58"/>
      <c r="H368" s="58"/>
      <c r="I368" s="58"/>
      <c r="J368" s="58" t="str">
        <f t="shared" si="53"/>
        <v/>
      </c>
      <c r="K368" s="58" t="str">
        <f t="shared" si="54"/>
        <v/>
      </c>
      <c r="L368" s="59" t="str">
        <f>IF(C368="","",DATEDIF(C368,'Premium Table'!$B$6,"Y"))</f>
        <v/>
      </c>
      <c r="M368" s="59" t="str">
        <f t="shared" si="58"/>
        <v/>
      </c>
      <c r="N368" s="59" t="str">
        <f t="shared" si="55"/>
        <v/>
      </c>
      <c r="O368" s="102" t="str">
        <f t="shared" si="59"/>
        <v/>
      </c>
      <c r="P368" s="102" t="str">
        <f t="shared" si="60"/>
        <v/>
      </c>
      <c r="Q368" s="68">
        <f t="shared" si="61"/>
        <v>0</v>
      </c>
      <c r="R368" s="102" t="str">
        <f t="shared" si="56"/>
        <v/>
      </c>
    </row>
    <row r="369" spans="1:18">
      <c r="A369" s="58" t="str">
        <f t="shared" si="57"/>
        <v/>
      </c>
      <c r="B369" s="58"/>
      <c r="C369" s="57"/>
      <c r="D369" s="58"/>
      <c r="E369" s="58"/>
      <c r="F369" s="58"/>
      <c r="G369" s="58"/>
      <c r="H369" s="58"/>
      <c r="I369" s="58"/>
      <c r="J369" s="58" t="str">
        <f t="shared" si="53"/>
        <v/>
      </c>
      <c r="K369" s="58" t="str">
        <f t="shared" si="54"/>
        <v/>
      </c>
      <c r="L369" s="59" t="str">
        <f>IF(C369="","",DATEDIF(C369,'Premium Table'!$B$6,"Y"))</f>
        <v/>
      </c>
      <c r="M369" s="59" t="str">
        <f t="shared" si="58"/>
        <v/>
      </c>
      <c r="N369" s="59" t="str">
        <f t="shared" si="55"/>
        <v/>
      </c>
      <c r="O369" s="102" t="str">
        <f t="shared" si="59"/>
        <v/>
      </c>
      <c r="P369" s="102" t="str">
        <f t="shared" si="60"/>
        <v/>
      </c>
      <c r="Q369" s="68">
        <f t="shared" si="61"/>
        <v>0</v>
      </c>
      <c r="R369" s="102" t="str">
        <f t="shared" si="56"/>
        <v/>
      </c>
    </row>
    <row r="370" spans="1:18">
      <c r="A370" s="58" t="str">
        <f t="shared" si="57"/>
        <v/>
      </c>
      <c r="B370" s="58"/>
      <c r="C370" s="57"/>
      <c r="D370" s="58"/>
      <c r="E370" s="58"/>
      <c r="F370" s="58"/>
      <c r="G370" s="58"/>
      <c r="H370" s="58"/>
      <c r="I370" s="58"/>
      <c r="J370" s="58" t="str">
        <f t="shared" si="53"/>
        <v/>
      </c>
      <c r="K370" s="58" t="str">
        <f t="shared" si="54"/>
        <v/>
      </c>
      <c r="L370" s="59" t="str">
        <f>IF(C370="","",DATEDIF(C370,'Premium Table'!$B$6,"Y"))</f>
        <v/>
      </c>
      <c r="M370" s="59" t="str">
        <f t="shared" si="58"/>
        <v/>
      </c>
      <c r="N370" s="59" t="str">
        <f t="shared" si="55"/>
        <v/>
      </c>
      <c r="O370" s="102" t="str">
        <f t="shared" si="59"/>
        <v/>
      </c>
      <c r="P370" s="102" t="str">
        <f t="shared" si="60"/>
        <v/>
      </c>
      <c r="Q370" s="68">
        <f t="shared" si="61"/>
        <v>0</v>
      </c>
      <c r="R370" s="102" t="str">
        <f t="shared" si="56"/>
        <v/>
      </c>
    </row>
    <row r="371" spans="1:18">
      <c r="A371" s="58" t="str">
        <f t="shared" si="57"/>
        <v/>
      </c>
      <c r="B371" s="58"/>
      <c r="C371" s="57"/>
      <c r="D371" s="58"/>
      <c r="E371" s="58"/>
      <c r="F371" s="58"/>
      <c r="G371" s="58"/>
      <c r="H371" s="58"/>
      <c r="I371" s="58"/>
      <c r="J371" s="58" t="str">
        <f t="shared" si="53"/>
        <v/>
      </c>
      <c r="K371" s="58" t="str">
        <f t="shared" si="54"/>
        <v/>
      </c>
      <c r="L371" s="59" t="str">
        <f>IF(C371="","",DATEDIF(C371,'Premium Table'!$B$6,"Y"))</f>
        <v/>
      </c>
      <c r="M371" s="59" t="str">
        <f t="shared" si="58"/>
        <v/>
      </c>
      <c r="N371" s="59" t="str">
        <f t="shared" si="55"/>
        <v/>
      </c>
      <c r="O371" s="102" t="str">
        <f t="shared" si="59"/>
        <v/>
      </c>
      <c r="P371" s="102" t="str">
        <f t="shared" si="60"/>
        <v/>
      </c>
      <c r="Q371" s="68">
        <f t="shared" si="61"/>
        <v>0</v>
      </c>
      <c r="R371" s="102" t="str">
        <f t="shared" si="56"/>
        <v/>
      </c>
    </row>
    <row r="372" spans="1:18">
      <c r="A372" s="58" t="str">
        <f t="shared" si="57"/>
        <v/>
      </c>
      <c r="B372" s="58"/>
      <c r="C372" s="57"/>
      <c r="D372" s="58"/>
      <c r="E372" s="58"/>
      <c r="F372" s="58"/>
      <c r="G372" s="58"/>
      <c r="H372" s="58"/>
      <c r="I372" s="58"/>
      <c r="J372" s="58" t="str">
        <f t="shared" si="53"/>
        <v/>
      </c>
      <c r="K372" s="58" t="str">
        <f t="shared" si="54"/>
        <v/>
      </c>
      <c r="L372" s="59" t="str">
        <f>IF(C372="","",DATEDIF(C372,'Premium Table'!$B$6,"Y"))</f>
        <v/>
      </c>
      <c r="M372" s="59" t="str">
        <f t="shared" si="58"/>
        <v/>
      </c>
      <c r="N372" s="59" t="str">
        <f t="shared" si="55"/>
        <v/>
      </c>
      <c r="O372" s="102" t="str">
        <f t="shared" si="59"/>
        <v/>
      </c>
      <c r="P372" s="102" t="str">
        <f t="shared" si="60"/>
        <v/>
      </c>
      <c r="Q372" s="68">
        <f t="shared" si="61"/>
        <v>0</v>
      </c>
      <c r="R372" s="102" t="str">
        <f t="shared" si="56"/>
        <v/>
      </c>
    </row>
    <row r="373" spans="1:18">
      <c r="A373" s="58" t="str">
        <f t="shared" si="57"/>
        <v/>
      </c>
      <c r="B373" s="58"/>
      <c r="C373" s="57"/>
      <c r="D373" s="58"/>
      <c r="E373" s="58"/>
      <c r="F373" s="58"/>
      <c r="G373" s="58"/>
      <c r="H373" s="58"/>
      <c r="I373" s="58"/>
      <c r="J373" s="58" t="str">
        <f t="shared" si="53"/>
        <v/>
      </c>
      <c r="K373" s="58" t="str">
        <f t="shared" si="54"/>
        <v/>
      </c>
      <c r="L373" s="59" t="str">
        <f>IF(C373="","",DATEDIF(C373,'Premium Table'!$B$6,"Y"))</f>
        <v/>
      </c>
      <c r="M373" s="59" t="str">
        <f t="shared" si="58"/>
        <v/>
      </c>
      <c r="N373" s="59" t="str">
        <f t="shared" si="55"/>
        <v/>
      </c>
      <c r="O373" s="102" t="str">
        <f t="shared" si="59"/>
        <v/>
      </c>
      <c r="P373" s="102" t="str">
        <f t="shared" si="60"/>
        <v/>
      </c>
      <c r="Q373" s="68">
        <f t="shared" si="61"/>
        <v>0</v>
      </c>
      <c r="R373" s="102" t="str">
        <f t="shared" si="56"/>
        <v/>
      </c>
    </row>
    <row r="374" spans="1:18">
      <c r="A374" s="58" t="str">
        <f t="shared" si="57"/>
        <v/>
      </c>
      <c r="B374" s="58"/>
      <c r="C374" s="57"/>
      <c r="D374" s="58"/>
      <c r="E374" s="58"/>
      <c r="F374" s="58"/>
      <c r="G374" s="58"/>
      <c r="H374" s="58"/>
      <c r="I374" s="58"/>
      <c r="J374" s="58" t="str">
        <f t="shared" si="53"/>
        <v/>
      </c>
      <c r="K374" s="58" t="str">
        <f t="shared" si="54"/>
        <v/>
      </c>
      <c r="L374" s="59" t="str">
        <f>IF(C374="","",DATEDIF(C374,'Premium Table'!$B$6,"Y"))</f>
        <v/>
      </c>
      <c r="M374" s="59" t="str">
        <f t="shared" si="58"/>
        <v/>
      </c>
      <c r="N374" s="59" t="str">
        <f t="shared" si="55"/>
        <v/>
      </c>
      <c r="O374" s="102" t="str">
        <f t="shared" si="59"/>
        <v/>
      </c>
      <c r="P374" s="102" t="str">
        <f t="shared" si="60"/>
        <v/>
      </c>
      <c r="Q374" s="68">
        <f t="shared" si="61"/>
        <v>0</v>
      </c>
      <c r="R374" s="102" t="str">
        <f t="shared" si="56"/>
        <v/>
      </c>
    </row>
    <row r="375" spans="1:18">
      <c r="A375" s="58" t="str">
        <f t="shared" si="57"/>
        <v/>
      </c>
      <c r="B375" s="58"/>
      <c r="C375" s="57"/>
      <c r="D375" s="58"/>
      <c r="E375" s="58"/>
      <c r="F375" s="58"/>
      <c r="G375" s="58"/>
      <c r="H375" s="58"/>
      <c r="I375" s="58"/>
      <c r="J375" s="58" t="str">
        <f t="shared" si="53"/>
        <v/>
      </c>
      <c r="K375" s="58" t="str">
        <f t="shared" si="54"/>
        <v/>
      </c>
      <c r="L375" s="59" t="str">
        <f>IF(C375="","",DATEDIF(C375,'Premium Table'!$B$6,"Y"))</f>
        <v/>
      </c>
      <c r="M375" s="59" t="str">
        <f t="shared" si="58"/>
        <v/>
      </c>
      <c r="N375" s="59" t="str">
        <f t="shared" si="55"/>
        <v/>
      </c>
      <c r="O375" s="102" t="str">
        <f t="shared" si="59"/>
        <v/>
      </c>
      <c r="P375" s="102" t="str">
        <f t="shared" si="60"/>
        <v/>
      </c>
      <c r="Q375" s="68">
        <f t="shared" si="61"/>
        <v>0</v>
      </c>
      <c r="R375" s="102" t="str">
        <f t="shared" si="56"/>
        <v/>
      </c>
    </row>
    <row r="376" spans="1:18">
      <c r="A376" s="58" t="str">
        <f t="shared" si="57"/>
        <v/>
      </c>
      <c r="B376" s="58"/>
      <c r="C376" s="57"/>
      <c r="D376" s="58"/>
      <c r="E376" s="58"/>
      <c r="F376" s="58"/>
      <c r="G376" s="58"/>
      <c r="H376" s="58"/>
      <c r="I376" s="58"/>
      <c r="J376" s="58" t="str">
        <f t="shared" si="53"/>
        <v/>
      </c>
      <c r="K376" s="58" t="str">
        <f t="shared" si="54"/>
        <v/>
      </c>
      <c r="L376" s="59" t="str">
        <f>IF(C376="","",DATEDIF(C376,'Premium Table'!$B$6,"Y"))</f>
        <v/>
      </c>
      <c r="M376" s="59" t="str">
        <f t="shared" si="58"/>
        <v/>
      </c>
      <c r="N376" s="59" t="str">
        <f t="shared" si="55"/>
        <v/>
      </c>
      <c r="O376" s="102" t="str">
        <f t="shared" si="59"/>
        <v/>
      </c>
      <c r="P376" s="102" t="str">
        <f t="shared" si="60"/>
        <v/>
      </c>
      <c r="Q376" s="68">
        <f t="shared" si="61"/>
        <v>0</v>
      </c>
      <c r="R376" s="102" t="str">
        <f t="shared" si="56"/>
        <v/>
      </c>
    </row>
    <row r="377" spans="1:18">
      <c r="A377" s="58" t="str">
        <f t="shared" si="57"/>
        <v/>
      </c>
      <c r="B377" s="58"/>
      <c r="C377" s="57"/>
      <c r="D377" s="58"/>
      <c r="E377" s="58"/>
      <c r="F377" s="58"/>
      <c r="G377" s="58"/>
      <c r="H377" s="58"/>
      <c r="I377" s="58"/>
      <c r="J377" s="58" t="str">
        <f t="shared" si="53"/>
        <v/>
      </c>
      <c r="K377" s="58" t="str">
        <f t="shared" si="54"/>
        <v/>
      </c>
      <c r="L377" s="59" t="str">
        <f>IF(C377="","",DATEDIF(C377,'Premium Table'!$B$6,"Y"))</f>
        <v/>
      </c>
      <c r="M377" s="59" t="str">
        <f t="shared" si="58"/>
        <v/>
      </c>
      <c r="N377" s="59" t="str">
        <f t="shared" si="55"/>
        <v/>
      </c>
      <c r="O377" s="102" t="str">
        <f t="shared" si="59"/>
        <v/>
      </c>
      <c r="P377" s="102" t="str">
        <f t="shared" si="60"/>
        <v/>
      </c>
      <c r="Q377" s="68">
        <f t="shared" si="61"/>
        <v>0</v>
      </c>
      <c r="R377" s="102" t="str">
        <f t="shared" si="56"/>
        <v/>
      </c>
    </row>
    <row r="378" spans="1:18">
      <c r="A378" s="58" t="str">
        <f t="shared" si="57"/>
        <v/>
      </c>
      <c r="B378" s="58"/>
      <c r="C378" s="57"/>
      <c r="D378" s="58"/>
      <c r="E378" s="58"/>
      <c r="F378" s="58"/>
      <c r="G378" s="58"/>
      <c r="H378" s="58"/>
      <c r="I378" s="58"/>
      <c r="J378" s="58" t="str">
        <f t="shared" si="53"/>
        <v/>
      </c>
      <c r="K378" s="58" t="str">
        <f t="shared" si="54"/>
        <v/>
      </c>
      <c r="L378" s="59" t="str">
        <f>IF(C378="","",DATEDIF(C378,'Premium Table'!$B$6,"Y"))</f>
        <v/>
      </c>
      <c r="M378" s="59" t="str">
        <f t="shared" si="58"/>
        <v/>
      </c>
      <c r="N378" s="59" t="str">
        <f t="shared" si="55"/>
        <v/>
      </c>
      <c r="O378" s="102" t="str">
        <f t="shared" si="59"/>
        <v/>
      </c>
      <c r="P378" s="102" t="str">
        <f t="shared" si="60"/>
        <v/>
      </c>
      <c r="Q378" s="68">
        <f t="shared" si="61"/>
        <v>0</v>
      </c>
      <c r="R378" s="102" t="str">
        <f t="shared" si="56"/>
        <v/>
      </c>
    </row>
    <row r="379" spans="1:18">
      <c r="A379" s="58" t="str">
        <f t="shared" si="57"/>
        <v/>
      </c>
      <c r="B379" s="58"/>
      <c r="C379" s="57"/>
      <c r="D379" s="58"/>
      <c r="E379" s="58"/>
      <c r="F379" s="58"/>
      <c r="G379" s="58"/>
      <c r="H379" s="58"/>
      <c r="I379" s="58"/>
      <c r="J379" s="58" t="str">
        <f t="shared" si="53"/>
        <v/>
      </c>
      <c r="K379" s="58" t="str">
        <f t="shared" si="54"/>
        <v/>
      </c>
      <c r="L379" s="59" t="str">
        <f>IF(C379="","",DATEDIF(C379,'Premium Table'!$B$6,"Y"))</f>
        <v/>
      </c>
      <c r="M379" s="59" t="str">
        <f t="shared" si="58"/>
        <v/>
      </c>
      <c r="N379" s="59" t="str">
        <f t="shared" si="55"/>
        <v/>
      </c>
      <c r="O379" s="102" t="str">
        <f t="shared" si="59"/>
        <v/>
      </c>
      <c r="P379" s="102" t="str">
        <f t="shared" si="60"/>
        <v/>
      </c>
      <c r="Q379" s="68">
        <f t="shared" si="61"/>
        <v>0</v>
      </c>
      <c r="R379" s="102" t="str">
        <f t="shared" si="56"/>
        <v/>
      </c>
    </row>
    <row r="380" spans="1:18">
      <c r="A380" s="58" t="str">
        <f t="shared" si="57"/>
        <v/>
      </c>
      <c r="B380" s="58"/>
      <c r="C380" s="57"/>
      <c r="D380" s="58"/>
      <c r="E380" s="58"/>
      <c r="F380" s="58"/>
      <c r="G380" s="58"/>
      <c r="H380" s="58"/>
      <c r="I380" s="58"/>
      <c r="J380" s="58" t="str">
        <f t="shared" si="53"/>
        <v/>
      </c>
      <c r="K380" s="58" t="str">
        <f t="shared" si="54"/>
        <v/>
      </c>
      <c r="L380" s="59" t="str">
        <f>IF(C380="","",DATEDIF(C380,'Premium Table'!$B$6,"Y"))</f>
        <v/>
      </c>
      <c r="M380" s="59" t="str">
        <f t="shared" si="58"/>
        <v/>
      </c>
      <c r="N380" s="59" t="str">
        <f t="shared" si="55"/>
        <v/>
      </c>
      <c r="O380" s="102" t="str">
        <f t="shared" si="59"/>
        <v/>
      </c>
      <c r="P380" s="102" t="str">
        <f t="shared" si="60"/>
        <v/>
      </c>
      <c r="Q380" s="68">
        <f t="shared" si="61"/>
        <v>0</v>
      </c>
      <c r="R380" s="102" t="str">
        <f t="shared" si="56"/>
        <v/>
      </c>
    </row>
    <row r="381" spans="1:18">
      <c r="A381" s="58" t="str">
        <f t="shared" si="57"/>
        <v/>
      </c>
      <c r="B381" s="58"/>
      <c r="C381" s="57"/>
      <c r="D381" s="58"/>
      <c r="E381" s="58"/>
      <c r="F381" s="58"/>
      <c r="G381" s="58"/>
      <c r="H381" s="58"/>
      <c r="I381" s="58"/>
      <c r="J381" s="58" t="str">
        <f t="shared" si="53"/>
        <v/>
      </c>
      <c r="K381" s="58" t="str">
        <f t="shared" si="54"/>
        <v/>
      </c>
      <c r="L381" s="59" t="str">
        <f>IF(C381="","",DATEDIF(C381,'Premium Table'!$B$6,"Y"))</f>
        <v/>
      </c>
      <c r="M381" s="59" t="str">
        <f t="shared" si="58"/>
        <v/>
      </c>
      <c r="N381" s="59" t="str">
        <f t="shared" si="55"/>
        <v/>
      </c>
      <c r="O381" s="102" t="str">
        <f t="shared" si="59"/>
        <v/>
      </c>
      <c r="P381" s="102" t="str">
        <f t="shared" si="60"/>
        <v/>
      </c>
      <c r="Q381" s="68">
        <f t="shared" si="61"/>
        <v>0</v>
      </c>
      <c r="R381" s="102" t="str">
        <f t="shared" si="56"/>
        <v/>
      </c>
    </row>
    <row r="382" spans="1:18">
      <c r="A382" s="58" t="str">
        <f t="shared" si="57"/>
        <v/>
      </c>
      <c r="B382" s="58"/>
      <c r="C382" s="57"/>
      <c r="D382" s="58"/>
      <c r="E382" s="58"/>
      <c r="F382" s="58"/>
      <c r="G382" s="58"/>
      <c r="H382" s="58"/>
      <c r="I382" s="58"/>
      <c r="J382" s="58" t="str">
        <f t="shared" si="53"/>
        <v/>
      </c>
      <c r="K382" s="58" t="str">
        <f t="shared" si="54"/>
        <v/>
      </c>
      <c r="L382" s="59" t="str">
        <f>IF(C382="","",DATEDIF(C382,'Premium Table'!$B$6,"Y"))</f>
        <v/>
      </c>
      <c r="M382" s="59" t="str">
        <f t="shared" si="58"/>
        <v/>
      </c>
      <c r="N382" s="59" t="str">
        <f t="shared" si="55"/>
        <v/>
      </c>
      <c r="O382" s="102" t="str">
        <f t="shared" si="59"/>
        <v/>
      </c>
      <c r="P382" s="102" t="str">
        <f t="shared" si="60"/>
        <v/>
      </c>
      <c r="Q382" s="68">
        <f t="shared" si="61"/>
        <v>0</v>
      </c>
      <c r="R382" s="102" t="str">
        <f t="shared" si="56"/>
        <v/>
      </c>
    </row>
    <row r="383" spans="1:18">
      <c r="A383" s="58" t="str">
        <f t="shared" si="57"/>
        <v/>
      </c>
      <c r="B383" s="58"/>
      <c r="C383" s="57"/>
      <c r="D383" s="58"/>
      <c r="E383" s="58"/>
      <c r="F383" s="58"/>
      <c r="G383" s="58"/>
      <c r="H383" s="58"/>
      <c r="I383" s="58"/>
      <c r="J383" s="58" t="str">
        <f t="shared" si="53"/>
        <v/>
      </c>
      <c r="K383" s="58" t="str">
        <f t="shared" si="54"/>
        <v/>
      </c>
      <c r="L383" s="59" t="str">
        <f>IF(C383="","",DATEDIF(C383,'Premium Table'!$B$6,"Y"))</f>
        <v/>
      </c>
      <c r="M383" s="59" t="str">
        <f t="shared" si="58"/>
        <v/>
      </c>
      <c r="N383" s="59" t="str">
        <f t="shared" si="55"/>
        <v/>
      </c>
      <c r="O383" s="102" t="str">
        <f t="shared" si="59"/>
        <v/>
      </c>
      <c r="P383" s="102" t="str">
        <f t="shared" si="60"/>
        <v/>
      </c>
      <c r="Q383" s="68">
        <f t="shared" si="61"/>
        <v>0</v>
      </c>
      <c r="R383" s="102" t="str">
        <f t="shared" si="56"/>
        <v/>
      </c>
    </row>
    <row r="384" spans="1:18">
      <c r="A384" s="58" t="str">
        <f t="shared" si="57"/>
        <v/>
      </c>
      <c r="B384" s="58"/>
      <c r="C384" s="57"/>
      <c r="D384" s="58"/>
      <c r="E384" s="58"/>
      <c r="F384" s="58"/>
      <c r="G384" s="58"/>
      <c r="H384" s="58"/>
      <c r="I384" s="58"/>
      <c r="J384" s="58" t="str">
        <f t="shared" si="53"/>
        <v/>
      </c>
      <c r="K384" s="58" t="str">
        <f t="shared" si="54"/>
        <v/>
      </c>
      <c r="L384" s="59" t="str">
        <f>IF(C384="","",DATEDIF(C384,'Premium Table'!$B$6,"Y"))</f>
        <v/>
      </c>
      <c r="M384" s="59" t="str">
        <f t="shared" si="58"/>
        <v/>
      </c>
      <c r="N384" s="59" t="str">
        <f t="shared" si="55"/>
        <v/>
      </c>
      <c r="O384" s="102" t="str">
        <f t="shared" si="59"/>
        <v/>
      </c>
      <c r="P384" s="102" t="str">
        <f t="shared" si="60"/>
        <v/>
      </c>
      <c r="Q384" s="68">
        <f t="shared" si="61"/>
        <v>0</v>
      </c>
      <c r="R384" s="102" t="str">
        <f t="shared" si="56"/>
        <v/>
      </c>
    </row>
    <row r="385" spans="1:18">
      <c r="A385" s="58" t="str">
        <f t="shared" si="57"/>
        <v/>
      </c>
      <c r="B385" s="58"/>
      <c r="C385" s="57"/>
      <c r="D385" s="58"/>
      <c r="E385" s="58"/>
      <c r="F385" s="58"/>
      <c r="G385" s="58"/>
      <c r="H385" s="58"/>
      <c r="I385" s="58"/>
      <c r="J385" s="58" t="str">
        <f t="shared" si="53"/>
        <v/>
      </c>
      <c r="K385" s="58" t="str">
        <f t="shared" si="54"/>
        <v/>
      </c>
      <c r="L385" s="59" t="str">
        <f>IF(C385="","",DATEDIF(C385,'Premium Table'!$B$6,"Y"))</f>
        <v/>
      </c>
      <c r="M385" s="59" t="str">
        <f t="shared" si="58"/>
        <v/>
      </c>
      <c r="N385" s="59" t="str">
        <f t="shared" si="55"/>
        <v/>
      </c>
      <c r="O385" s="102" t="str">
        <f t="shared" si="59"/>
        <v/>
      </c>
      <c r="P385" s="102" t="str">
        <f t="shared" si="60"/>
        <v/>
      </c>
      <c r="Q385" s="68">
        <f t="shared" si="61"/>
        <v>0</v>
      </c>
      <c r="R385" s="102" t="str">
        <f t="shared" si="56"/>
        <v/>
      </c>
    </row>
    <row r="386" spans="1:18">
      <c r="A386" s="58" t="str">
        <f t="shared" si="57"/>
        <v/>
      </c>
      <c r="B386" s="58"/>
      <c r="C386" s="57"/>
      <c r="D386" s="58"/>
      <c r="E386" s="58"/>
      <c r="F386" s="58"/>
      <c r="G386" s="58"/>
      <c r="H386" s="58"/>
      <c r="I386" s="58"/>
      <c r="J386" s="58" t="str">
        <f t="shared" si="53"/>
        <v/>
      </c>
      <c r="K386" s="58" t="str">
        <f t="shared" si="54"/>
        <v/>
      </c>
      <c r="L386" s="59" t="str">
        <f>IF(C386="","",DATEDIF(C386,'Premium Table'!$B$6,"Y"))</f>
        <v/>
      </c>
      <c r="M386" s="59" t="str">
        <f t="shared" si="58"/>
        <v/>
      </c>
      <c r="N386" s="59" t="str">
        <f t="shared" si="55"/>
        <v/>
      </c>
      <c r="O386" s="102" t="str">
        <f t="shared" si="59"/>
        <v/>
      </c>
      <c r="P386" s="102" t="str">
        <f t="shared" si="60"/>
        <v/>
      </c>
      <c r="Q386" s="68">
        <f t="shared" si="61"/>
        <v>0</v>
      </c>
      <c r="R386" s="102" t="str">
        <f t="shared" si="56"/>
        <v/>
      </c>
    </row>
    <row r="387" spans="1:18">
      <c r="A387" s="58" t="str">
        <f t="shared" si="57"/>
        <v/>
      </c>
      <c r="B387" s="58"/>
      <c r="C387" s="57"/>
      <c r="D387" s="58"/>
      <c r="E387" s="58"/>
      <c r="F387" s="58"/>
      <c r="G387" s="58"/>
      <c r="H387" s="58"/>
      <c r="I387" s="58"/>
      <c r="J387" s="58" t="str">
        <f t="shared" si="53"/>
        <v/>
      </c>
      <c r="K387" s="58" t="str">
        <f t="shared" si="54"/>
        <v/>
      </c>
      <c r="L387" s="59" t="str">
        <f>IF(C387="","",DATEDIF(C387,'Premium Table'!$B$6,"Y"))</f>
        <v/>
      </c>
      <c r="M387" s="59" t="str">
        <f t="shared" si="58"/>
        <v/>
      </c>
      <c r="N387" s="59" t="str">
        <f t="shared" si="55"/>
        <v/>
      </c>
      <c r="O387" s="102" t="str">
        <f t="shared" si="59"/>
        <v/>
      </c>
      <c r="P387" s="102" t="str">
        <f t="shared" si="60"/>
        <v/>
      </c>
      <c r="Q387" s="68">
        <f t="shared" si="61"/>
        <v>0</v>
      </c>
      <c r="R387" s="102" t="str">
        <f t="shared" si="56"/>
        <v/>
      </c>
    </row>
    <row r="388" spans="1:18">
      <c r="A388" s="58" t="str">
        <f t="shared" si="57"/>
        <v/>
      </c>
      <c r="B388" s="58"/>
      <c r="C388" s="57"/>
      <c r="D388" s="58"/>
      <c r="E388" s="58"/>
      <c r="F388" s="58"/>
      <c r="G388" s="58"/>
      <c r="H388" s="58"/>
      <c r="I388" s="58"/>
      <c r="J388" s="58" t="str">
        <f t="shared" si="53"/>
        <v/>
      </c>
      <c r="K388" s="58" t="str">
        <f t="shared" si="54"/>
        <v/>
      </c>
      <c r="L388" s="59" t="str">
        <f>IF(C388="","",DATEDIF(C388,'Premium Table'!$B$6,"Y"))</f>
        <v/>
      </c>
      <c r="M388" s="59" t="str">
        <f t="shared" si="58"/>
        <v/>
      </c>
      <c r="N388" s="59" t="str">
        <f t="shared" si="55"/>
        <v/>
      </c>
      <c r="O388" s="102" t="str">
        <f t="shared" si="59"/>
        <v/>
      </c>
      <c r="P388" s="102" t="str">
        <f t="shared" si="60"/>
        <v/>
      </c>
      <c r="Q388" s="68">
        <f t="shared" si="61"/>
        <v>0</v>
      </c>
      <c r="R388" s="102" t="str">
        <f t="shared" si="56"/>
        <v/>
      </c>
    </row>
    <row r="389" spans="1:18">
      <c r="A389" s="58" t="str">
        <f t="shared" si="57"/>
        <v/>
      </c>
      <c r="B389" s="58"/>
      <c r="C389" s="57"/>
      <c r="D389" s="58"/>
      <c r="E389" s="58"/>
      <c r="F389" s="58"/>
      <c r="G389" s="58"/>
      <c r="H389" s="58"/>
      <c r="I389" s="58"/>
      <c r="J389" s="58" t="str">
        <f t="shared" si="53"/>
        <v/>
      </c>
      <c r="K389" s="58" t="str">
        <f t="shared" si="54"/>
        <v/>
      </c>
      <c r="L389" s="59" t="str">
        <f>IF(C389="","",DATEDIF(C389,'Premium Table'!$B$6,"Y"))</f>
        <v/>
      </c>
      <c r="M389" s="59" t="str">
        <f t="shared" si="58"/>
        <v/>
      </c>
      <c r="N389" s="59" t="str">
        <f t="shared" si="55"/>
        <v/>
      </c>
      <c r="O389" s="102" t="str">
        <f t="shared" si="59"/>
        <v/>
      </c>
      <c r="P389" s="102" t="str">
        <f t="shared" si="60"/>
        <v/>
      </c>
      <c r="Q389" s="68">
        <f t="shared" si="61"/>
        <v>0</v>
      </c>
      <c r="R389" s="102" t="str">
        <f t="shared" si="56"/>
        <v/>
      </c>
    </row>
    <row r="390" spans="1:18">
      <c r="A390" s="58" t="str">
        <f t="shared" si="57"/>
        <v/>
      </c>
      <c r="B390" s="58"/>
      <c r="C390" s="57"/>
      <c r="D390" s="58"/>
      <c r="E390" s="58"/>
      <c r="F390" s="58"/>
      <c r="G390" s="58"/>
      <c r="H390" s="58"/>
      <c r="I390" s="58"/>
      <c r="J390" s="58" t="str">
        <f t="shared" ref="J390:J453" si="62">IF(D390="","",E390&amp;LEFT(D390)&amp;IF(F390="Employee","E","D"))</f>
        <v/>
      </c>
      <c r="K390" s="58" t="str">
        <f t="shared" ref="K390:K453" si="63">IF(J390="","",VLOOKUP(J390,$Y$19:$Z$50,2,FALSE))</f>
        <v/>
      </c>
      <c r="L390" s="59" t="str">
        <f>IF(C390="","",DATEDIF(C390,'Premium Table'!$B$6,"Y"))</f>
        <v/>
      </c>
      <c r="M390" s="59" t="str">
        <f t="shared" si="58"/>
        <v/>
      </c>
      <c r="N390" s="59" t="str">
        <f t="shared" ref="N390:N453" si="64">IF(L390="","",IF(M390="","",IF(H390="DXB",VLOOKUP(M390,DXBAgeBr,3,FALSE),IF(H390="AUH",VLOOKUP(M390,AUHAgeBr,2,FALSE),""))))</f>
        <v/>
      </c>
      <c r="O390" s="102" t="str">
        <f t="shared" si="59"/>
        <v/>
      </c>
      <c r="P390" s="102" t="str">
        <f t="shared" si="60"/>
        <v/>
      </c>
      <c r="Q390" s="68">
        <f t="shared" si="61"/>
        <v>0</v>
      </c>
      <c r="R390" s="102" t="str">
        <f t="shared" ref="R390:R453" si="65">IF(M390="","",O390+Q390)</f>
        <v/>
      </c>
    </row>
    <row r="391" spans="1:18">
      <c r="A391" s="58" t="str">
        <f t="shared" ref="A391:A454" si="66">IF(C391="","",A390+1)</f>
        <v/>
      </c>
      <c r="B391" s="58"/>
      <c r="C391" s="57"/>
      <c r="D391" s="58"/>
      <c r="E391" s="58"/>
      <c r="F391" s="58"/>
      <c r="G391" s="58"/>
      <c r="H391" s="58"/>
      <c r="I391" s="58"/>
      <c r="J391" s="58" t="str">
        <f t="shared" si="62"/>
        <v/>
      </c>
      <c r="K391" s="58" t="str">
        <f t="shared" si="63"/>
        <v/>
      </c>
      <c r="L391" s="59" t="str">
        <f>IF(C391="","",DATEDIF(C391,'Premium Table'!$B$6,"Y"))</f>
        <v/>
      </c>
      <c r="M391" s="59" t="str">
        <f t="shared" ref="M391:M454" si="67">IF(L391="","",IF(H391="","Choose Plan (DXB/AUH)",IF(H391="DXB",VLOOKUP(L391,$V$55:$W$154,2,FALSE),IF(H391="AUH",VLOOKUP(L391,$V$55:$X$154,3,FALSE),"Choose Plan (DXB/AUH)"))))</f>
        <v/>
      </c>
      <c r="N391" s="59" t="str">
        <f t="shared" si="64"/>
        <v/>
      </c>
      <c r="O391" s="102" t="str">
        <f t="shared" ref="O391:O454" si="68">IF(M391="","",VLOOKUP(N391,$V$5:$BB$17,K391,FALSE))</f>
        <v/>
      </c>
      <c r="P391" s="102" t="str">
        <f t="shared" ref="P391:P454" si="69">IF(L391="","",IF(H391="DXB",46,IF(H391="AUH",51,"")))</f>
        <v/>
      </c>
      <c r="Q391" s="68">
        <f t="shared" ref="Q391:Q454" si="70">IF(AND(LEFT(D391,1)="F",G391="Married",L391&gt;17,L391&lt;P391),HLOOKUP(E391,$W$1:$AA$2,2,FALSE),0)</f>
        <v>0</v>
      </c>
      <c r="R391" s="102" t="str">
        <f t="shared" si="65"/>
        <v/>
      </c>
    </row>
    <row r="392" spans="1:18">
      <c r="A392" s="58" t="str">
        <f t="shared" si="66"/>
        <v/>
      </c>
      <c r="B392" s="58"/>
      <c r="C392" s="57"/>
      <c r="D392" s="58"/>
      <c r="E392" s="58"/>
      <c r="F392" s="58"/>
      <c r="G392" s="58"/>
      <c r="H392" s="58"/>
      <c r="I392" s="58"/>
      <c r="J392" s="58" t="str">
        <f t="shared" si="62"/>
        <v/>
      </c>
      <c r="K392" s="58" t="str">
        <f t="shared" si="63"/>
        <v/>
      </c>
      <c r="L392" s="59" t="str">
        <f>IF(C392="","",DATEDIF(C392,'Premium Table'!$B$6,"Y"))</f>
        <v/>
      </c>
      <c r="M392" s="59" t="str">
        <f t="shared" si="67"/>
        <v/>
      </c>
      <c r="N392" s="59" t="str">
        <f t="shared" si="64"/>
        <v/>
      </c>
      <c r="O392" s="102" t="str">
        <f t="shared" si="68"/>
        <v/>
      </c>
      <c r="P392" s="102" t="str">
        <f t="shared" si="69"/>
        <v/>
      </c>
      <c r="Q392" s="68">
        <f t="shared" si="70"/>
        <v>0</v>
      </c>
      <c r="R392" s="102" t="str">
        <f t="shared" si="65"/>
        <v/>
      </c>
    </row>
    <row r="393" spans="1:18">
      <c r="A393" s="58" t="str">
        <f t="shared" si="66"/>
        <v/>
      </c>
      <c r="B393" s="58"/>
      <c r="C393" s="57"/>
      <c r="D393" s="58"/>
      <c r="E393" s="58"/>
      <c r="F393" s="58"/>
      <c r="G393" s="58"/>
      <c r="H393" s="58"/>
      <c r="I393" s="58"/>
      <c r="J393" s="58" t="str">
        <f t="shared" si="62"/>
        <v/>
      </c>
      <c r="K393" s="58" t="str">
        <f t="shared" si="63"/>
        <v/>
      </c>
      <c r="L393" s="59" t="str">
        <f>IF(C393="","",DATEDIF(C393,'Premium Table'!$B$6,"Y"))</f>
        <v/>
      </c>
      <c r="M393" s="59" t="str">
        <f t="shared" si="67"/>
        <v/>
      </c>
      <c r="N393" s="59" t="str">
        <f t="shared" si="64"/>
        <v/>
      </c>
      <c r="O393" s="102" t="str">
        <f t="shared" si="68"/>
        <v/>
      </c>
      <c r="P393" s="102" t="str">
        <f t="shared" si="69"/>
        <v/>
      </c>
      <c r="Q393" s="68">
        <f t="shared" si="70"/>
        <v>0</v>
      </c>
      <c r="R393" s="102" t="str">
        <f t="shared" si="65"/>
        <v/>
      </c>
    </row>
    <row r="394" spans="1:18">
      <c r="A394" s="58" t="str">
        <f t="shared" si="66"/>
        <v/>
      </c>
      <c r="B394" s="58"/>
      <c r="C394" s="57"/>
      <c r="D394" s="58"/>
      <c r="E394" s="58"/>
      <c r="F394" s="58"/>
      <c r="G394" s="58"/>
      <c r="H394" s="58"/>
      <c r="I394" s="58"/>
      <c r="J394" s="58" t="str">
        <f t="shared" si="62"/>
        <v/>
      </c>
      <c r="K394" s="58" t="str">
        <f t="shared" si="63"/>
        <v/>
      </c>
      <c r="L394" s="59" t="str">
        <f>IF(C394="","",DATEDIF(C394,'Premium Table'!$B$6,"Y"))</f>
        <v/>
      </c>
      <c r="M394" s="59" t="str">
        <f t="shared" si="67"/>
        <v/>
      </c>
      <c r="N394" s="59" t="str">
        <f t="shared" si="64"/>
        <v/>
      </c>
      <c r="O394" s="102" t="str">
        <f t="shared" si="68"/>
        <v/>
      </c>
      <c r="P394" s="102" t="str">
        <f t="shared" si="69"/>
        <v/>
      </c>
      <c r="Q394" s="68">
        <f t="shared" si="70"/>
        <v>0</v>
      </c>
      <c r="R394" s="102" t="str">
        <f t="shared" si="65"/>
        <v/>
      </c>
    </row>
    <row r="395" spans="1:18">
      <c r="A395" s="58" t="str">
        <f t="shared" si="66"/>
        <v/>
      </c>
      <c r="B395" s="58"/>
      <c r="C395" s="57"/>
      <c r="D395" s="58"/>
      <c r="E395" s="58"/>
      <c r="F395" s="58"/>
      <c r="G395" s="58"/>
      <c r="H395" s="58"/>
      <c r="I395" s="58"/>
      <c r="J395" s="58" t="str">
        <f t="shared" si="62"/>
        <v/>
      </c>
      <c r="K395" s="58" t="str">
        <f t="shared" si="63"/>
        <v/>
      </c>
      <c r="L395" s="59" t="str">
        <f>IF(C395="","",DATEDIF(C395,'Premium Table'!$B$6,"Y"))</f>
        <v/>
      </c>
      <c r="M395" s="59" t="str">
        <f t="shared" si="67"/>
        <v/>
      </c>
      <c r="N395" s="59" t="str">
        <f t="shared" si="64"/>
        <v/>
      </c>
      <c r="O395" s="102" t="str">
        <f t="shared" si="68"/>
        <v/>
      </c>
      <c r="P395" s="102" t="str">
        <f t="shared" si="69"/>
        <v/>
      </c>
      <c r="Q395" s="68">
        <f t="shared" si="70"/>
        <v>0</v>
      </c>
      <c r="R395" s="102" t="str">
        <f t="shared" si="65"/>
        <v/>
      </c>
    </row>
    <row r="396" spans="1:18">
      <c r="A396" s="58" t="str">
        <f t="shared" si="66"/>
        <v/>
      </c>
      <c r="B396" s="58"/>
      <c r="C396" s="57"/>
      <c r="D396" s="58"/>
      <c r="E396" s="58"/>
      <c r="F396" s="58"/>
      <c r="G396" s="58"/>
      <c r="H396" s="58"/>
      <c r="I396" s="58"/>
      <c r="J396" s="58" t="str">
        <f t="shared" si="62"/>
        <v/>
      </c>
      <c r="K396" s="58" t="str">
        <f t="shared" si="63"/>
        <v/>
      </c>
      <c r="L396" s="59" t="str">
        <f>IF(C396="","",DATEDIF(C396,'Premium Table'!$B$6,"Y"))</f>
        <v/>
      </c>
      <c r="M396" s="59" t="str">
        <f t="shared" si="67"/>
        <v/>
      </c>
      <c r="N396" s="59" t="str">
        <f t="shared" si="64"/>
        <v/>
      </c>
      <c r="O396" s="102" t="str">
        <f t="shared" si="68"/>
        <v/>
      </c>
      <c r="P396" s="102" t="str">
        <f t="shared" si="69"/>
        <v/>
      </c>
      <c r="Q396" s="68">
        <f t="shared" si="70"/>
        <v>0</v>
      </c>
      <c r="R396" s="102" t="str">
        <f t="shared" si="65"/>
        <v/>
      </c>
    </row>
    <row r="397" spans="1:18">
      <c r="A397" s="58" t="str">
        <f t="shared" si="66"/>
        <v/>
      </c>
      <c r="B397" s="58"/>
      <c r="C397" s="57"/>
      <c r="D397" s="58"/>
      <c r="E397" s="58"/>
      <c r="F397" s="58"/>
      <c r="G397" s="58"/>
      <c r="H397" s="58"/>
      <c r="I397" s="58"/>
      <c r="J397" s="58" t="str">
        <f t="shared" si="62"/>
        <v/>
      </c>
      <c r="K397" s="58" t="str">
        <f t="shared" si="63"/>
        <v/>
      </c>
      <c r="L397" s="59" t="str">
        <f>IF(C397="","",DATEDIF(C397,'Premium Table'!$B$6,"Y"))</f>
        <v/>
      </c>
      <c r="M397" s="59" t="str">
        <f t="shared" si="67"/>
        <v/>
      </c>
      <c r="N397" s="59" t="str">
        <f t="shared" si="64"/>
        <v/>
      </c>
      <c r="O397" s="102" t="str">
        <f t="shared" si="68"/>
        <v/>
      </c>
      <c r="P397" s="102" t="str">
        <f t="shared" si="69"/>
        <v/>
      </c>
      <c r="Q397" s="68">
        <f t="shared" si="70"/>
        <v>0</v>
      </c>
      <c r="R397" s="102" t="str">
        <f t="shared" si="65"/>
        <v/>
      </c>
    </row>
    <row r="398" spans="1:18">
      <c r="A398" s="58" t="str">
        <f t="shared" si="66"/>
        <v/>
      </c>
      <c r="B398" s="58"/>
      <c r="C398" s="57"/>
      <c r="D398" s="58"/>
      <c r="E398" s="58"/>
      <c r="F398" s="58"/>
      <c r="G398" s="58"/>
      <c r="H398" s="58"/>
      <c r="I398" s="58"/>
      <c r="J398" s="58" t="str">
        <f t="shared" si="62"/>
        <v/>
      </c>
      <c r="K398" s="58" t="str">
        <f t="shared" si="63"/>
        <v/>
      </c>
      <c r="L398" s="59" t="str">
        <f>IF(C398="","",DATEDIF(C398,'Premium Table'!$B$6,"Y"))</f>
        <v/>
      </c>
      <c r="M398" s="59" t="str">
        <f t="shared" si="67"/>
        <v/>
      </c>
      <c r="N398" s="59" t="str">
        <f t="shared" si="64"/>
        <v/>
      </c>
      <c r="O398" s="102" t="str">
        <f t="shared" si="68"/>
        <v/>
      </c>
      <c r="P398" s="102" t="str">
        <f t="shared" si="69"/>
        <v/>
      </c>
      <c r="Q398" s="68">
        <f t="shared" si="70"/>
        <v>0</v>
      </c>
      <c r="R398" s="102" t="str">
        <f t="shared" si="65"/>
        <v/>
      </c>
    </row>
    <row r="399" spans="1:18">
      <c r="A399" s="58" t="str">
        <f t="shared" si="66"/>
        <v/>
      </c>
      <c r="B399" s="58"/>
      <c r="C399" s="57"/>
      <c r="D399" s="58"/>
      <c r="E399" s="58"/>
      <c r="F399" s="58"/>
      <c r="G399" s="58"/>
      <c r="H399" s="58"/>
      <c r="I399" s="58"/>
      <c r="J399" s="58" t="str">
        <f t="shared" si="62"/>
        <v/>
      </c>
      <c r="K399" s="58" t="str">
        <f t="shared" si="63"/>
        <v/>
      </c>
      <c r="L399" s="59" t="str">
        <f>IF(C399="","",DATEDIF(C399,'Premium Table'!$B$6,"Y"))</f>
        <v/>
      </c>
      <c r="M399" s="59" t="str">
        <f t="shared" si="67"/>
        <v/>
      </c>
      <c r="N399" s="59" t="str">
        <f t="shared" si="64"/>
        <v/>
      </c>
      <c r="O399" s="102" t="str">
        <f t="shared" si="68"/>
        <v/>
      </c>
      <c r="P399" s="102" t="str">
        <f t="shared" si="69"/>
        <v/>
      </c>
      <c r="Q399" s="68">
        <f t="shared" si="70"/>
        <v>0</v>
      </c>
      <c r="R399" s="102" t="str">
        <f t="shared" si="65"/>
        <v/>
      </c>
    </row>
    <row r="400" spans="1:18">
      <c r="A400" s="58" t="str">
        <f t="shared" si="66"/>
        <v/>
      </c>
      <c r="B400" s="58"/>
      <c r="C400" s="57"/>
      <c r="D400" s="58"/>
      <c r="E400" s="58"/>
      <c r="F400" s="58"/>
      <c r="G400" s="58"/>
      <c r="H400" s="58"/>
      <c r="I400" s="58"/>
      <c r="J400" s="58" t="str">
        <f t="shared" si="62"/>
        <v/>
      </c>
      <c r="K400" s="58" t="str">
        <f t="shared" si="63"/>
        <v/>
      </c>
      <c r="L400" s="59" t="str">
        <f>IF(C400="","",DATEDIF(C400,'Premium Table'!$B$6,"Y"))</f>
        <v/>
      </c>
      <c r="M400" s="59" t="str">
        <f t="shared" si="67"/>
        <v/>
      </c>
      <c r="N400" s="59" t="str">
        <f t="shared" si="64"/>
        <v/>
      </c>
      <c r="O400" s="102" t="str">
        <f t="shared" si="68"/>
        <v/>
      </c>
      <c r="P400" s="102" t="str">
        <f t="shared" si="69"/>
        <v/>
      </c>
      <c r="Q400" s="68">
        <f t="shared" si="70"/>
        <v>0</v>
      </c>
      <c r="R400" s="102" t="str">
        <f t="shared" si="65"/>
        <v/>
      </c>
    </row>
    <row r="401" spans="1:18">
      <c r="A401" s="58" t="str">
        <f t="shared" si="66"/>
        <v/>
      </c>
      <c r="B401" s="58"/>
      <c r="C401" s="57"/>
      <c r="D401" s="58"/>
      <c r="E401" s="58"/>
      <c r="F401" s="58"/>
      <c r="G401" s="58"/>
      <c r="H401" s="58"/>
      <c r="I401" s="58"/>
      <c r="J401" s="58" t="str">
        <f t="shared" si="62"/>
        <v/>
      </c>
      <c r="K401" s="58" t="str">
        <f t="shared" si="63"/>
        <v/>
      </c>
      <c r="L401" s="59" t="str">
        <f>IF(C401="","",DATEDIF(C401,'Premium Table'!$B$6,"Y"))</f>
        <v/>
      </c>
      <c r="M401" s="59" t="str">
        <f t="shared" si="67"/>
        <v/>
      </c>
      <c r="N401" s="59" t="str">
        <f t="shared" si="64"/>
        <v/>
      </c>
      <c r="O401" s="102" t="str">
        <f t="shared" si="68"/>
        <v/>
      </c>
      <c r="P401" s="102" t="str">
        <f t="shared" si="69"/>
        <v/>
      </c>
      <c r="Q401" s="68">
        <f t="shared" si="70"/>
        <v>0</v>
      </c>
      <c r="R401" s="102" t="str">
        <f t="shared" si="65"/>
        <v/>
      </c>
    </row>
    <row r="402" spans="1:18">
      <c r="A402" s="58" t="str">
        <f t="shared" si="66"/>
        <v/>
      </c>
      <c r="B402" s="58"/>
      <c r="C402" s="57"/>
      <c r="D402" s="58"/>
      <c r="E402" s="58"/>
      <c r="F402" s="58"/>
      <c r="G402" s="58"/>
      <c r="H402" s="58"/>
      <c r="I402" s="58"/>
      <c r="J402" s="58" t="str">
        <f t="shared" si="62"/>
        <v/>
      </c>
      <c r="K402" s="58" t="str">
        <f t="shared" si="63"/>
        <v/>
      </c>
      <c r="L402" s="59" t="str">
        <f>IF(C402="","",DATEDIF(C402,'Premium Table'!$B$6,"Y"))</f>
        <v/>
      </c>
      <c r="M402" s="59" t="str">
        <f t="shared" si="67"/>
        <v/>
      </c>
      <c r="N402" s="59" t="str">
        <f t="shared" si="64"/>
        <v/>
      </c>
      <c r="O402" s="102" t="str">
        <f t="shared" si="68"/>
        <v/>
      </c>
      <c r="P402" s="102" t="str">
        <f t="shared" si="69"/>
        <v/>
      </c>
      <c r="Q402" s="68">
        <f t="shared" si="70"/>
        <v>0</v>
      </c>
      <c r="R402" s="102" t="str">
        <f t="shared" si="65"/>
        <v/>
      </c>
    </row>
    <row r="403" spans="1:18">
      <c r="A403" s="58" t="str">
        <f t="shared" si="66"/>
        <v/>
      </c>
      <c r="B403" s="58"/>
      <c r="C403" s="57"/>
      <c r="D403" s="58"/>
      <c r="E403" s="58"/>
      <c r="F403" s="58"/>
      <c r="G403" s="58"/>
      <c r="H403" s="58"/>
      <c r="I403" s="58"/>
      <c r="J403" s="58" t="str">
        <f t="shared" si="62"/>
        <v/>
      </c>
      <c r="K403" s="58" t="str">
        <f t="shared" si="63"/>
        <v/>
      </c>
      <c r="L403" s="59" t="str">
        <f>IF(C403="","",DATEDIF(C403,'Premium Table'!$B$6,"Y"))</f>
        <v/>
      </c>
      <c r="M403" s="59" t="str">
        <f t="shared" si="67"/>
        <v/>
      </c>
      <c r="N403" s="59" t="str">
        <f t="shared" si="64"/>
        <v/>
      </c>
      <c r="O403" s="102" t="str">
        <f t="shared" si="68"/>
        <v/>
      </c>
      <c r="P403" s="102" t="str">
        <f t="shared" si="69"/>
        <v/>
      </c>
      <c r="Q403" s="68">
        <f t="shared" si="70"/>
        <v>0</v>
      </c>
      <c r="R403" s="102" t="str">
        <f t="shared" si="65"/>
        <v/>
      </c>
    </row>
    <row r="404" spans="1:18">
      <c r="A404" s="58" t="str">
        <f t="shared" si="66"/>
        <v/>
      </c>
      <c r="B404" s="58"/>
      <c r="C404" s="57"/>
      <c r="D404" s="58"/>
      <c r="E404" s="58"/>
      <c r="F404" s="58"/>
      <c r="G404" s="58"/>
      <c r="H404" s="58"/>
      <c r="I404" s="58"/>
      <c r="J404" s="58" t="str">
        <f t="shared" si="62"/>
        <v/>
      </c>
      <c r="K404" s="58" t="str">
        <f t="shared" si="63"/>
        <v/>
      </c>
      <c r="L404" s="59" t="str">
        <f>IF(C404="","",DATEDIF(C404,'Premium Table'!$B$6,"Y"))</f>
        <v/>
      </c>
      <c r="M404" s="59" t="str">
        <f t="shared" si="67"/>
        <v/>
      </c>
      <c r="N404" s="59" t="str">
        <f t="shared" si="64"/>
        <v/>
      </c>
      <c r="O404" s="102" t="str">
        <f t="shared" si="68"/>
        <v/>
      </c>
      <c r="P404" s="102" t="str">
        <f t="shared" si="69"/>
        <v/>
      </c>
      <c r="Q404" s="68">
        <f t="shared" si="70"/>
        <v>0</v>
      </c>
      <c r="R404" s="102" t="str">
        <f t="shared" si="65"/>
        <v/>
      </c>
    </row>
    <row r="405" spans="1:18">
      <c r="A405" s="58" t="str">
        <f t="shared" si="66"/>
        <v/>
      </c>
      <c r="B405" s="58"/>
      <c r="C405" s="57"/>
      <c r="D405" s="58"/>
      <c r="E405" s="58"/>
      <c r="F405" s="58"/>
      <c r="G405" s="58"/>
      <c r="H405" s="58"/>
      <c r="I405" s="58"/>
      <c r="J405" s="58" t="str">
        <f t="shared" si="62"/>
        <v/>
      </c>
      <c r="K405" s="58" t="str">
        <f t="shared" si="63"/>
        <v/>
      </c>
      <c r="L405" s="59" t="str">
        <f>IF(C405="","",DATEDIF(C405,'Premium Table'!$B$6,"Y"))</f>
        <v/>
      </c>
      <c r="M405" s="59" t="str">
        <f t="shared" si="67"/>
        <v/>
      </c>
      <c r="N405" s="59" t="str">
        <f t="shared" si="64"/>
        <v/>
      </c>
      <c r="O405" s="102" t="str">
        <f t="shared" si="68"/>
        <v/>
      </c>
      <c r="P405" s="102" t="str">
        <f t="shared" si="69"/>
        <v/>
      </c>
      <c r="Q405" s="68">
        <f t="shared" si="70"/>
        <v>0</v>
      </c>
      <c r="R405" s="102" t="str">
        <f t="shared" si="65"/>
        <v/>
      </c>
    </row>
    <row r="406" spans="1:18">
      <c r="A406" s="58" t="str">
        <f t="shared" si="66"/>
        <v/>
      </c>
      <c r="B406" s="58"/>
      <c r="C406" s="57"/>
      <c r="D406" s="58"/>
      <c r="E406" s="58"/>
      <c r="F406" s="58"/>
      <c r="G406" s="58"/>
      <c r="H406" s="58"/>
      <c r="I406" s="58"/>
      <c r="J406" s="58" t="str">
        <f t="shared" si="62"/>
        <v/>
      </c>
      <c r="K406" s="58" t="str">
        <f t="shared" si="63"/>
        <v/>
      </c>
      <c r="L406" s="59" t="str">
        <f>IF(C406="","",DATEDIF(C406,'Premium Table'!$B$6,"Y"))</f>
        <v/>
      </c>
      <c r="M406" s="59" t="str">
        <f t="shared" si="67"/>
        <v/>
      </c>
      <c r="N406" s="59" t="str">
        <f t="shared" si="64"/>
        <v/>
      </c>
      <c r="O406" s="102" t="str">
        <f t="shared" si="68"/>
        <v/>
      </c>
      <c r="P406" s="102" t="str">
        <f t="shared" si="69"/>
        <v/>
      </c>
      <c r="Q406" s="68">
        <f t="shared" si="70"/>
        <v>0</v>
      </c>
      <c r="R406" s="102" t="str">
        <f t="shared" si="65"/>
        <v/>
      </c>
    </row>
    <row r="407" spans="1:18">
      <c r="A407" s="58" t="str">
        <f t="shared" si="66"/>
        <v/>
      </c>
      <c r="B407" s="58"/>
      <c r="C407" s="57"/>
      <c r="D407" s="58"/>
      <c r="E407" s="58"/>
      <c r="F407" s="58"/>
      <c r="G407" s="58"/>
      <c r="H407" s="58"/>
      <c r="I407" s="58"/>
      <c r="J407" s="58" t="str">
        <f t="shared" si="62"/>
        <v/>
      </c>
      <c r="K407" s="58" t="str">
        <f t="shared" si="63"/>
        <v/>
      </c>
      <c r="L407" s="59" t="str">
        <f>IF(C407="","",DATEDIF(C407,'Premium Table'!$B$6,"Y"))</f>
        <v/>
      </c>
      <c r="M407" s="59" t="str">
        <f t="shared" si="67"/>
        <v/>
      </c>
      <c r="N407" s="59" t="str">
        <f t="shared" si="64"/>
        <v/>
      </c>
      <c r="O407" s="102" t="str">
        <f t="shared" si="68"/>
        <v/>
      </c>
      <c r="P407" s="102" t="str">
        <f t="shared" si="69"/>
        <v/>
      </c>
      <c r="Q407" s="68">
        <f t="shared" si="70"/>
        <v>0</v>
      </c>
      <c r="R407" s="102" t="str">
        <f t="shared" si="65"/>
        <v/>
      </c>
    </row>
    <row r="408" spans="1:18">
      <c r="A408" s="58" t="str">
        <f t="shared" si="66"/>
        <v/>
      </c>
      <c r="B408" s="58"/>
      <c r="C408" s="57"/>
      <c r="D408" s="58"/>
      <c r="E408" s="58"/>
      <c r="F408" s="58"/>
      <c r="G408" s="58"/>
      <c r="H408" s="58"/>
      <c r="I408" s="58"/>
      <c r="J408" s="58" t="str">
        <f t="shared" si="62"/>
        <v/>
      </c>
      <c r="K408" s="58" t="str">
        <f t="shared" si="63"/>
        <v/>
      </c>
      <c r="L408" s="59" t="str">
        <f>IF(C408="","",DATEDIF(C408,'Premium Table'!$B$6,"Y"))</f>
        <v/>
      </c>
      <c r="M408" s="59" t="str">
        <f t="shared" si="67"/>
        <v/>
      </c>
      <c r="N408" s="59" t="str">
        <f t="shared" si="64"/>
        <v/>
      </c>
      <c r="O408" s="102" t="str">
        <f t="shared" si="68"/>
        <v/>
      </c>
      <c r="P408" s="102" t="str">
        <f t="shared" si="69"/>
        <v/>
      </c>
      <c r="Q408" s="68">
        <f t="shared" si="70"/>
        <v>0</v>
      </c>
      <c r="R408" s="102" t="str">
        <f t="shared" si="65"/>
        <v/>
      </c>
    </row>
    <row r="409" spans="1:18">
      <c r="A409" s="58" t="str">
        <f t="shared" si="66"/>
        <v/>
      </c>
      <c r="B409" s="58"/>
      <c r="C409" s="57"/>
      <c r="D409" s="58"/>
      <c r="E409" s="58"/>
      <c r="F409" s="58"/>
      <c r="G409" s="58"/>
      <c r="H409" s="58"/>
      <c r="I409" s="58"/>
      <c r="J409" s="58" t="str">
        <f t="shared" si="62"/>
        <v/>
      </c>
      <c r="K409" s="58" t="str">
        <f t="shared" si="63"/>
        <v/>
      </c>
      <c r="L409" s="59" t="str">
        <f>IF(C409="","",DATEDIF(C409,'Premium Table'!$B$6,"Y"))</f>
        <v/>
      </c>
      <c r="M409" s="59" t="str">
        <f t="shared" si="67"/>
        <v/>
      </c>
      <c r="N409" s="59" t="str">
        <f t="shared" si="64"/>
        <v/>
      </c>
      <c r="O409" s="102" t="str">
        <f t="shared" si="68"/>
        <v/>
      </c>
      <c r="P409" s="102" t="str">
        <f t="shared" si="69"/>
        <v/>
      </c>
      <c r="Q409" s="68">
        <f t="shared" si="70"/>
        <v>0</v>
      </c>
      <c r="R409" s="102" t="str">
        <f t="shared" si="65"/>
        <v/>
      </c>
    </row>
    <row r="410" spans="1:18">
      <c r="A410" s="58" t="str">
        <f t="shared" si="66"/>
        <v/>
      </c>
      <c r="B410" s="58"/>
      <c r="C410" s="57"/>
      <c r="D410" s="58"/>
      <c r="E410" s="58"/>
      <c r="F410" s="58"/>
      <c r="G410" s="58"/>
      <c r="H410" s="58"/>
      <c r="I410" s="58"/>
      <c r="J410" s="58" t="str">
        <f t="shared" si="62"/>
        <v/>
      </c>
      <c r="K410" s="58" t="str">
        <f t="shared" si="63"/>
        <v/>
      </c>
      <c r="L410" s="59" t="str">
        <f>IF(C410="","",DATEDIF(C410,'Premium Table'!$B$6,"Y"))</f>
        <v/>
      </c>
      <c r="M410" s="59" t="str">
        <f t="shared" si="67"/>
        <v/>
      </c>
      <c r="N410" s="59" t="str">
        <f t="shared" si="64"/>
        <v/>
      </c>
      <c r="O410" s="102" t="str">
        <f t="shared" si="68"/>
        <v/>
      </c>
      <c r="P410" s="102" t="str">
        <f t="shared" si="69"/>
        <v/>
      </c>
      <c r="Q410" s="68">
        <f t="shared" si="70"/>
        <v>0</v>
      </c>
      <c r="R410" s="102" t="str">
        <f t="shared" si="65"/>
        <v/>
      </c>
    </row>
    <row r="411" spans="1:18">
      <c r="A411" s="58" t="str">
        <f t="shared" si="66"/>
        <v/>
      </c>
      <c r="B411" s="58"/>
      <c r="C411" s="57"/>
      <c r="D411" s="58"/>
      <c r="E411" s="58"/>
      <c r="F411" s="58"/>
      <c r="G411" s="58"/>
      <c r="H411" s="58"/>
      <c r="I411" s="58"/>
      <c r="J411" s="58" t="str">
        <f t="shared" si="62"/>
        <v/>
      </c>
      <c r="K411" s="58" t="str">
        <f t="shared" si="63"/>
        <v/>
      </c>
      <c r="L411" s="59" t="str">
        <f>IF(C411="","",DATEDIF(C411,'Premium Table'!$B$6,"Y"))</f>
        <v/>
      </c>
      <c r="M411" s="59" t="str">
        <f t="shared" si="67"/>
        <v/>
      </c>
      <c r="N411" s="59" t="str">
        <f t="shared" si="64"/>
        <v/>
      </c>
      <c r="O411" s="102" t="str">
        <f t="shared" si="68"/>
        <v/>
      </c>
      <c r="P411" s="102" t="str">
        <f t="shared" si="69"/>
        <v/>
      </c>
      <c r="Q411" s="68">
        <f t="shared" si="70"/>
        <v>0</v>
      </c>
      <c r="R411" s="102" t="str">
        <f t="shared" si="65"/>
        <v/>
      </c>
    </row>
    <row r="412" spans="1:18">
      <c r="A412" s="58" t="str">
        <f t="shared" si="66"/>
        <v/>
      </c>
      <c r="B412" s="58"/>
      <c r="C412" s="57"/>
      <c r="D412" s="58"/>
      <c r="E412" s="58"/>
      <c r="F412" s="58"/>
      <c r="G412" s="58"/>
      <c r="H412" s="58"/>
      <c r="I412" s="58"/>
      <c r="J412" s="58" t="str">
        <f t="shared" si="62"/>
        <v/>
      </c>
      <c r="K412" s="58" t="str">
        <f t="shared" si="63"/>
        <v/>
      </c>
      <c r="L412" s="59" t="str">
        <f>IF(C412="","",DATEDIF(C412,'Premium Table'!$B$6,"Y"))</f>
        <v/>
      </c>
      <c r="M412" s="59" t="str">
        <f t="shared" si="67"/>
        <v/>
      </c>
      <c r="N412" s="59" t="str">
        <f t="shared" si="64"/>
        <v/>
      </c>
      <c r="O412" s="102" t="str">
        <f t="shared" si="68"/>
        <v/>
      </c>
      <c r="P412" s="102" t="str">
        <f t="shared" si="69"/>
        <v/>
      </c>
      <c r="Q412" s="68">
        <f t="shared" si="70"/>
        <v>0</v>
      </c>
      <c r="R412" s="102" t="str">
        <f t="shared" si="65"/>
        <v/>
      </c>
    </row>
    <row r="413" spans="1:18">
      <c r="A413" s="58" t="str">
        <f t="shared" si="66"/>
        <v/>
      </c>
      <c r="B413" s="58"/>
      <c r="C413" s="57"/>
      <c r="D413" s="58"/>
      <c r="E413" s="58"/>
      <c r="F413" s="58"/>
      <c r="G413" s="58"/>
      <c r="H413" s="58"/>
      <c r="I413" s="58"/>
      <c r="J413" s="58" t="str">
        <f t="shared" si="62"/>
        <v/>
      </c>
      <c r="K413" s="58" t="str">
        <f t="shared" si="63"/>
        <v/>
      </c>
      <c r="L413" s="59" t="str">
        <f>IF(C413="","",DATEDIF(C413,'Premium Table'!$B$6,"Y"))</f>
        <v/>
      </c>
      <c r="M413" s="59" t="str">
        <f t="shared" si="67"/>
        <v/>
      </c>
      <c r="N413" s="59" t="str">
        <f t="shared" si="64"/>
        <v/>
      </c>
      <c r="O413" s="102" t="str">
        <f t="shared" si="68"/>
        <v/>
      </c>
      <c r="P413" s="102" t="str">
        <f t="shared" si="69"/>
        <v/>
      </c>
      <c r="Q413" s="68">
        <f t="shared" si="70"/>
        <v>0</v>
      </c>
      <c r="R413" s="102" t="str">
        <f t="shared" si="65"/>
        <v/>
      </c>
    </row>
    <row r="414" spans="1:18">
      <c r="A414" s="58" t="str">
        <f t="shared" si="66"/>
        <v/>
      </c>
      <c r="B414" s="58"/>
      <c r="C414" s="57"/>
      <c r="D414" s="58"/>
      <c r="E414" s="58"/>
      <c r="F414" s="58"/>
      <c r="G414" s="58"/>
      <c r="H414" s="58"/>
      <c r="I414" s="58"/>
      <c r="J414" s="58" t="str">
        <f t="shared" si="62"/>
        <v/>
      </c>
      <c r="K414" s="58" t="str">
        <f t="shared" si="63"/>
        <v/>
      </c>
      <c r="L414" s="59" t="str">
        <f>IF(C414="","",DATEDIF(C414,'Premium Table'!$B$6,"Y"))</f>
        <v/>
      </c>
      <c r="M414" s="59" t="str">
        <f t="shared" si="67"/>
        <v/>
      </c>
      <c r="N414" s="59" t="str">
        <f t="shared" si="64"/>
        <v/>
      </c>
      <c r="O414" s="102" t="str">
        <f t="shared" si="68"/>
        <v/>
      </c>
      <c r="P414" s="102" t="str">
        <f t="shared" si="69"/>
        <v/>
      </c>
      <c r="Q414" s="68">
        <f t="shared" si="70"/>
        <v>0</v>
      </c>
      <c r="R414" s="102" t="str">
        <f t="shared" si="65"/>
        <v/>
      </c>
    </row>
    <row r="415" spans="1:18">
      <c r="A415" s="58" t="str">
        <f t="shared" si="66"/>
        <v/>
      </c>
      <c r="B415" s="58"/>
      <c r="C415" s="57"/>
      <c r="D415" s="58"/>
      <c r="E415" s="58"/>
      <c r="F415" s="58"/>
      <c r="G415" s="58"/>
      <c r="H415" s="58"/>
      <c r="I415" s="58"/>
      <c r="J415" s="58" t="str">
        <f t="shared" si="62"/>
        <v/>
      </c>
      <c r="K415" s="58" t="str">
        <f t="shared" si="63"/>
        <v/>
      </c>
      <c r="L415" s="59" t="str">
        <f>IF(C415="","",DATEDIF(C415,'Premium Table'!$B$6,"Y"))</f>
        <v/>
      </c>
      <c r="M415" s="59" t="str">
        <f t="shared" si="67"/>
        <v/>
      </c>
      <c r="N415" s="59" t="str">
        <f t="shared" si="64"/>
        <v/>
      </c>
      <c r="O415" s="102" t="str">
        <f t="shared" si="68"/>
        <v/>
      </c>
      <c r="P415" s="102" t="str">
        <f t="shared" si="69"/>
        <v/>
      </c>
      <c r="Q415" s="68">
        <f t="shared" si="70"/>
        <v>0</v>
      </c>
      <c r="R415" s="102" t="str">
        <f t="shared" si="65"/>
        <v/>
      </c>
    </row>
    <row r="416" spans="1:18">
      <c r="A416" s="58" t="str">
        <f t="shared" si="66"/>
        <v/>
      </c>
      <c r="B416" s="58"/>
      <c r="C416" s="57"/>
      <c r="D416" s="58"/>
      <c r="E416" s="58"/>
      <c r="F416" s="58"/>
      <c r="G416" s="58"/>
      <c r="H416" s="58"/>
      <c r="I416" s="58"/>
      <c r="J416" s="58" t="str">
        <f t="shared" si="62"/>
        <v/>
      </c>
      <c r="K416" s="58" t="str">
        <f t="shared" si="63"/>
        <v/>
      </c>
      <c r="L416" s="59" t="str">
        <f>IF(C416="","",DATEDIF(C416,'Premium Table'!$B$6,"Y"))</f>
        <v/>
      </c>
      <c r="M416" s="59" t="str">
        <f t="shared" si="67"/>
        <v/>
      </c>
      <c r="N416" s="59" t="str">
        <f t="shared" si="64"/>
        <v/>
      </c>
      <c r="O416" s="102" t="str">
        <f t="shared" si="68"/>
        <v/>
      </c>
      <c r="P416" s="102" t="str">
        <f t="shared" si="69"/>
        <v/>
      </c>
      <c r="Q416" s="68">
        <f t="shared" si="70"/>
        <v>0</v>
      </c>
      <c r="R416" s="102" t="str">
        <f t="shared" si="65"/>
        <v/>
      </c>
    </row>
    <row r="417" spans="1:18">
      <c r="A417" s="58" t="str">
        <f t="shared" si="66"/>
        <v/>
      </c>
      <c r="B417" s="58"/>
      <c r="C417" s="57"/>
      <c r="D417" s="58"/>
      <c r="E417" s="58"/>
      <c r="F417" s="58"/>
      <c r="G417" s="58"/>
      <c r="H417" s="58"/>
      <c r="I417" s="58"/>
      <c r="J417" s="58" t="str">
        <f t="shared" si="62"/>
        <v/>
      </c>
      <c r="K417" s="58" t="str">
        <f t="shared" si="63"/>
        <v/>
      </c>
      <c r="L417" s="59" t="str">
        <f>IF(C417="","",DATEDIF(C417,'Premium Table'!$B$6,"Y"))</f>
        <v/>
      </c>
      <c r="M417" s="59" t="str">
        <f t="shared" si="67"/>
        <v/>
      </c>
      <c r="N417" s="59" t="str">
        <f t="shared" si="64"/>
        <v/>
      </c>
      <c r="O417" s="102" t="str">
        <f t="shared" si="68"/>
        <v/>
      </c>
      <c r="P417" s="102" t="str">
        <f t="shared" si="69"/>
        <v/>
      </c>
      <c r="Q417" s="68">
        <f t="shared" si="70"/>
        <v>0</v>
      </c>
      <c r="R417" s="102" t="str">
        <f t="shared" si="65"/>
        <v/>
      </c>
    </row>
    <row r="418" spans="1:18">
      <c r="A418" s="58" t="str">
        <f t="shared" si="66"/>
        <v/>
      </c>
      <c r="B418" s="58"/>
      <c r="C418" s="57"/>
      <c r="D418" s="58"/>
      <c r="E418" s="58"/>
      <c r="F418" s="58"/>
      <c r="G418" s="58"/>
      <c r="H418" s="58"/>
      <c r="I418" s="58"/>
      <c r="J418" s="58" t="str">
        <f t="shared" si="62"/>
        <v/>
      </c>
      <c r="K418" s="58" t="str">
        <f t="shared" si="63"/>
        <v/>
      </c>
      <c r="L418" s="59" t="str">
        <f>IF(C418="","",DATEDIF(C418,'Premium Table'!$B$6,"Y"))</f>
        <v/>
      </c>
      <c r="M418" s="59" t="str">
        <f t="shared" si="67"/>
        <v/>
      </c>
      <c r="N418" s="59" t="str">
        <f t="shared" si="64"/>
        <v/>
      </c>
      <c r="O418" s="102" t="str">
        <f t="shared" si="68"/>
        <v/>
      </c>
      <c r="P418" s="102" t="str">
        <f t="shared" si="69"/>
        <v/>
      </c>
      <c r="Q418" s="68">
        <f t="shared" si="70"/>
        <v>0</v>
      </c>
      <c r="R418" s="102" t="str">
        <f t="shared" si="65"/>
        <v/>
      </c>
    </row>
    <row r="419" spans="1:18">
      <c r="A419" s="58" t="str">
        <f t="shared" si="66"/>
        <v/>
      </c>
      <c r="B419" s="58"/>
      <c r="C419" s="57"/>
      <c r="D419" s="58"/>
      <c r="E419" s="58"/>
      <c r="F419" s="58"/>
      <c r="G419" s="58"/>
      <c r="H419" s="58"/>
      <c r="I419" s="58"/>
      <c r="J419" s="58" t="str">
        <f t="shared" si="62"/>
        <v/>
      </c>
      <c r="K419" s="58" t="str">
        <f t="shared" si="63"/>
        <v/>
      </c>
      <c r="L419" s="59" t="str">
        <f>IF(C419="","",DATEDIF(C419,'Premium Table'!$B$6,"Y"))</f>
        <v/>
      </c>
      <c r="M419" s="59" t="str">
        <f t="shared" si="67"/>
        <v/>
      </c>
      <c r="N419" s="59" t="str">
        <f t="shared" si="64"/>
        <v/>
      </c>
      <c r="O419" s="102" t="str">
        <f t="shared" si="68"/>
        <v/>
      </c>
      <c r="P419" s="102" t="str">
        <f t="shared" si="69"/>
        <v/>
      </c>
      <c r="Q419" s="68">
        <f t="shared" si="70"/>
        <v>0</v>
      </c>
      <c r="R419" s="102" t="str">
        <f t="shared" si="65"/>
        <v/>
      </c>
    </row>
    <row r="420" spans="1:18">
      <c r="A420" s="58" t="str">
        <f t="shared" si="66"/>
        <v/>
      </c>
      <c r="B420" s="58"/>
      <c r="C420" s="57"/>
      <c r="D420" s="58"/>
      <c r="E420" s="58"/>
      <c r="F420" s="58"/>
      <c r="G420" s="58"/>
      <c r="H420" s="58"/>
      <c r="I420" s="58"/>
      <c r="J420" s="58" t="str">
        <f t="shared" si="62"/>
        <v/>
      </c>
      <c r="K420" s="58" t="str">
        <f t="shared" si="63"/>
        <v/>
      </c>
      <c r="L420" s="59" t="str">
        <f>IF(C420="","",DATEDIF(C420,'Premium Table'!$B$6,"Y"))</f>
        <v/>
      </c>
      <c r="M420" s="59" t="str">
        <f t="shared" si="67"/>
        <v/>
      </c>
      <c r="N420" s="59" t="str">
        <f t="shared" si="64"/>
        <v/>
      </c>
      <c r="O420" s="102" t="str">
        <f t="shared" si="68"/>
        <v/>
      </c>
      <c r="P420" s="102" t="str">
        <f t="shared" si="69"/>
        <v/>
      </c>
      <c r="Q420" s="68">
        <f t="shared" si="70"/>
        <v>0</v>
      </c>
      <c r="R420" s="102" t="str">
        <f t="shared" si="65"/>
        <v/>
      </c>
    </row>
    <row r="421" spans="1:18">
      <c r="A421" s="58" t="str">
        <f t="shared" si="66"/>
        <v/>
      </c>
      <c r="B421" s="58"/>
      <c r="C421" s="57"/>
      <c r="D421" s="58"/>
      <c r="E421" s="58"/>
      <c r="F421" s="58"/>
      <c r="G421" s="58"/>
      <c r="H421" s="58"/>
      <c r="I421" s="58"/>
      <c r="J421" s="58" t="str">
        <f t="shared" si="62"/>
        <v/>
      </c>
      <c r="K421" s="58" t="str">
        <f t="shared" si="63"/>
        <v/>
      </c>
      <c r="L421" s="59" t="str">
        <f>IF(C421="","",DATEDIF(C421,'Premium Table'!$B$6,"Y"))</f>
        <v/>
      </c>
      <c r="M421" s="59" t="str">
        <f t="shared" si="67"/>
        <v/>
      </c>
      <c r="N421" s="59" t="str">
        <f t="shared" si="64"/>
        <v/>
      </c>
      <c r="O421" s="102" t="str">
        <f t="shared" si="68"/>
        <v/>
      </c>
      <c r="P421" s="102" t="str">
        <f t="shared" si="69"/>
        <v/>
      </c>
      <c r="Q421" s="68">
        <f t="shared" si="70"/>
        <v>0</v>
      </c>
      <c r="R421" s="102" t="str">
        <f t="shared" si="65"/>
        <v/>
      </c>
    </row>
    <row r="422" spans="1:18">
      <c r="A422" s="58" t="str">
        <f t="shared" si="66"/>
        <v/>
      </c>
      <c r="B422" s="58"/>
      <c r="C422" s="57"/>
      <c r="D422" s="58"/>
      <c r="E422" s="58"/>
      <c r="F422" s="58"/>
      <c r="G422" s="58"/>
      <c r="H422" s="58"/>
      <c r="I422" s="58"/>
      <c r="J422" s="58" t="str">
        <f t="shared" si="62"/>
        <v/>
      </c>
      <c r="K422" s="58" t="str">
        <f t="shared" si="63"/>
        <v/>
      </c>
      <c r="L422" s="59" t="str">
        <f>IF(C422="","",DATEDIF(C422,'Premium Table'!$B$6,"Y"))</f>
        <v/>
      </c>
      <c r="M422" s="59" t="str">
        <f t="shared" si="67"/>
        <v/>
      </c>
      <c r="N422" s="59" t="str">
        <f t="shared" si="64"/>
        <v/>
      </c>
      <c r="O422" s="102" t="str">
        <f t="shared" si="68"/>
        <v/>
      </c>
      <c r="P422" s="102" t="str">
        <f t="shared" si="69"/>
        <v/>
      </c>
      <c r="Q422" s="68">
        <f t="shared" si="70"/>
        <v>0</v>
      </c>
      <c r="R422" s="102" t="str">
        <f t="shared" si="65"/>
        <v/>
      </c>
    </row>
    <row r="423" spans="1:18">
      <c r="A423" s="58" t="str">
        <f t="shared" si="66"/>
        <v/>
      </c>
      <c r="B423" s="58"/>
      <c r="C423" s="57"/>
      <c r="D423" s="58"/>
      <c r="E423" s="58"/>
      <c r="F423" s="58"/>
      <c r="G423" s="58"/>
      <c r="H423" s="58"/>
      <c r="I423" s="58"/>
      <c r="J423" s="58" t="str">
        <f t="shared" si="62"/>
        <v/>
      </c>
      <c r="K423" s="58" t="str">
        <f t="shared" si="63"/>
        <v/>
      </c>
      <c r="L423" s="59" t="str">
        <f>IF(C423="","",DATEDIF(C423,'Premium Table'!$B$6,"Y"))</f>
        <v/>
      </c>
      <c r="M423" s="59" t="str">
        <f t="shared" si="67"/>
        <v/>
      </c>
      <c r="N423" s="59" t="str">
        <f t="shared" si="64"/>
        <v/>
      </c>
      <c r="O423" s="102" t="str">
        <f t="shared" si="68"/>
        <v/>
      </c>
      <c r="P423" s="102" t="str">
        <f t="shared" si="69"/>
        <v/>
      </c>
      <c r="Q423" s="68">
        <f t="shared" si="70"/>
        <v>0</v>
      </c>
      <c r="R423" s="102" t="str">
        <f t="shared" si="65"/>
        <v/>
      </c>
    </row>
    <row r="424" spans="1:18">
      <c r="A424" s="58" t="str">
        <f t="shared" si="66"/>
        <v/>
      </c>
      <c r="B424" s="58"/>
      <c r="C424" s="57"/>
      <c r="D424" s="58"/>
      <c r="E424" s="58"/>
      <c r="F424" s="58"/>
      <c r="G424" s="58"/>
      <c r="H424" s="58"/>
      <c r="I424" s="58"/>
      <c r="J424" s="58" t="str">
        <f t="shared" si="62"/>
        <v/>
      </c>
      <c r="K424" s="58" t="str">
        <f t="shared" si="63"/>
        <v/>
      </c>
      <c r="L424" s="59" t="str">
        <f>IF(C424="","",DATEDIF(C424,'Premium Table'!$B$6,"Y"))</f>
        <v/>
      </c>
      <c r="M424" s="59" t="str">
        <f t="shared" si="67"/>
        <v/>
      </c>
      <c r="N424" s="59" t="str">
        <f t="shared" si="64"/>
        <v/>
      </c>
      <c r="O424" s="102" t="str">
        <f t="shared" si="68"/>
        <v/>
      </c>
      <c r="P424" s="102" t="str">
        <f t="shared" si="69"/>
        <v/>
      </c>
      <c r="Q424" s="68">
        <f t="shared" si="70"/>
        <v>0</v>
      </c>
      <c r="R424" s="102" t="str">
        <f t="shared" si="65"/>
        <v/>
      </c>
    </row>
    <row r="425" spans="1:18">
      <c r="A425" s="58" t="str">
        <f t="shared" si="66"/>
        <v/>
      </c>
      <c r="B425" s="58"/>
      <c r="C425" s="57"/>
      <c r="D425" s="58"/>
      <c r="E425" s="58"/>
      <c r="F425" s="58"/>
      <c r="G425" s="58"/>
      <c r="H425" s="58"/>
      <c r="I425" s="58"/>
      <c r="J425" s="58" t="str">
        <f t="shared" si="62"/>
        <v/>
      </c>
      <c r="K425" s="58" t="str">
        <f t="shared" si="63"/>
        <v/>
      </c>
      <c r="L425" s="59" t="str">
        <f>IF(C425="","",DATEDIF(C425,'Premium Table'!$B$6,"Y"))</f>
        <v/>
      </c>
      <c r="M425" s="59" t="str">
        <f t="shared" si="67"/>
        <v/>
      </c>
      <c r="N425" s="59" t="str">
        <f t="shared" si="64"/>
        <v/>
      </c>
      <c r="O425" s="102" t="str">
        <f t="shared" si="68"/>
        <v/>
      </c>
      <c r="P425" s="102" t="str">
        <f t="shared" si="69"/>
        <v/>
      </c>
      <c r="Q425" s="68">
        <f t="shared" si="70"/>
        <v>0</v>
      </c>
      <c r="R425" s="102" t="str">
        <f t="shared" si="65"/>
        <v/>
      </c>
    </row>
    <row r="426" spans="1:18">
      <c r="A426" s="58" t="str">
        <f t="shared" si="66"/>
        <v/>
      </c>
      <c r="B426" s="58"/>
      <c r="C426" s="57"/>
      <c r="D426" s="58"/>
      <c r="E426" s="58"/>
      <c r="F426" s="58"/>
      <c r="G426" s="58"/>
      <c r="H426" s="58"/>
      <c r="I426" s="58"/>
      <c r="J426" s="58" t="str">
        <f t="shared" si="62"/>
        <v/>
      </c>
      <c r="K426" s="58" t="str">
        <f t="shared" si="63"/>
        <v/>
      </c>
      <c r="L426" s="59" t="str">
        <f>IF(C426="","",DATEDIF(C426,'Premium Table'!$B$6,"Y"))</f>
        <v/>
      </c>
      <c r="M426" s="59" t="str">
        <f t="shared" si="67"/>
        <v/>
      </c>
      <c r="N426" s="59" t="str">
        <f t="shared" si="64"/>
        <v/>
      </c>
      <c r="O426" s="102" t="str">
        <f t="shared" si="68"/>
        <v/>
      </c>
      <c r="P426" s="102" t="str">
        <f t="shared" si="69"/>
        <v/>
      </c>
      <c r="Q426" s="68">
        <f t="shared" si="70"/>
        <v>0</v>
      </c>
      <c r="R426" s="102" t="str">
        <f t="shared" si="65"/>
        <v/>
      </c>
    </row>
    <row r="427" spans="1:18">
      <c r="A427" s="58" t="str">
        <f t="shared" si="66"/>
        <v/>
      </c>
      <c r="B427" s="58"/>
      <c r="C427" s="57"/>
      <c r="D427" s="58"/>
      <c r="E427" s="58"/>
      <c r="F427" s="58"/>
      <c r="G427" s="58"/>
      <c r="H427" s="58"/>
      <c r="I427" s="58"/>
      <c r="J427" s="58" t="str">
        <f t="shared" si="62"/>
        <v/>
      </c>
      <c r="K427" s="58" t="str">
        <f t="shared" si="63"/>
        <v/>
      </c>
      <c r="L427" s="59" t="str">
        <f>IF(C427="","",DATEDIF(C427,'Premium Table'!$B$6,"Y"))</f>
        <v/>
      </c>
      <c r="M427" s="59" t="str">
        <f t="shared" si="67"/>
        <v/>
      </c>
      <c r="N427" s="59" t="str">
        <f t="shared" si="64"/>
        <v/>
      </c>
      <c r="O427" s="102" t="str">
        <f t="shared" si="68"/>
        <v/>
      </c>
      <c r="P427" s="102" t="str">
        <f t="shared" si="69"/>
        <v/>
      </c>
      <c r="Q427" s="68">
        <f t="shared" si="70"/>
        <v>0</v>
      </c>
      <c r="R427" s="102" t="str">
        <f t="shared" si="65"/>
        <v/>
      </c>
    </row>
    <row r="428" spans="1:18">
      <c r="A428" s="58" t="str">
        <f t="shared" si="66"/>
        <v/>
      </c>
      <c r="B428" s="58"/>
      <c r="C428" s="57"/>
      <c r="D428" s="58"/>
      <c r="E428" s="58"/>
      <c r="F428" s="58"/>
      <c r="G428" s="58"/>
      <c r="H428" s="58"/>
      <c r="I428" s="58"/>
      <c r="J428" s="58" t="str">
        <f t="shared" si="62"/>
        <v/>
      </c>
      <c r="K428" s="58" t="str">
        <f t="shared" si="63"/>
        <v/>
      </c>
      <c r="L428" s="59" t="str">
        <f>IF(C428="","",DATEDIF(C428,'Premium Table'!$B$6,"Y"))</f>
        <v/>
      </c>
      <c r="M428" s="59" t="str">
        <f t="shared" si="67"/>
        <v/>
      </c>
      <c r="N428" s="59" t="str">
        <f t="shared" si="64"/>
        <v/>
      </c>
      <c r="O428" s="102" t="str">
        <f t="shared" si="68"/>
        <v/>
      </c>
      <c r="P428" s="102" t="str">
        <f t="shared" si="69"/>
        <v/>
      </c>
      <c r="Q428" s="68">
        <f t="shared" si="70"/>
        <v>0</v>
      </c>
      <c r="R428" s="102" t="str">
        <f t="shared" si="65"/>
        <v/>
      </c>
    </row>
    <row r="429" spans="1:18">
      <c r="A429" s="58" t="str">
        <f t="shared" si="66"/>
        <v/>
      </c>
      <c r="B429" s="58"/>
      <c r="C429" s="57"/>
      <c r="D429" s="58"/>
      <c r="E429" s="58"/>
      <c r="F429" s="58"/>
      <c r="G429" s="58"/>
      <c r="H429" s="58"/>
      <c r="I429" s="58"/>
      <c r="J429" s="58" t="str">
        <f t="shared" si="62"/>
        <v/>
      </c>
      <c r="K429" s="58" t="str">
        <f t="shared" si="63"/>
        <v/>
      </c>
      <c r="L429" s="59" t="str">
        <f>IF(C429="","",DATEDIF(C429,'Premium Table'!$B$6,"Y"))</f>
        <v/>
      </c>
      <c r="M429" s="59" t="str">
        <f t="shared" si="67"/>
        <v/>
      </c>
      <c r="N429" s="59" t="str">
        <f t="shared" si="64"/>
        <v/>
      </c>
      <c r="O429" s="102" t="str">
        <f t="shared" si="68"/>
        <v/>
      </c>
      <c r="P429" s="102" t="str">
        <f t="shared" si="69"/>
        <v/>
      </c>
      <c r="Q429" s="68">
        <f t="shared" si="70"/>
        <v>0</v>
      </c>
      <c r="R429" s="102" t="str">
        <f t="shared" si="65"/>
        <v/>
      </c>
    </row>
    <row r="430" spans="1:18">
      <c r="A430" s="58" t="str">
        <f t="shared" si="66"/>
        <v/>
      </c>
      <c r="B430" s="58"/>
      <c r="C430" s="57"/>
      <c r="D430" s="58"/>
      <c r="E430" s="58"/>
      <c r="F430" s="58"/>
      <c r="G430" s="58"/>
      <c r="H430" s="58"/>
      <c r="I430" s="58"/>
      <c r="J430" s="58" t="str">
        <f t="shared" si="62"/>
        <v/>
      </c>
      <c r="K430" s="58" t="str">
        <f t="shared" si="63"/>
        <v/>
      </c>
      <c r="L430" s="59" t="str">
        <f>IF(C430="","",DATEDIF(C430,'Premium Table'!$B$6,"Y"))</f>
        <v/>
      </c>
      <c r="M430" s="59" t="str">
        <f t="shared" si="67"/>
        <v/>
      </c>
      <c r="N430" s="59" t="str">
        <f t="shared" si="64"/>
        <v/>
      </c>
      <c r="O430" s="102" t="str">
        <f t="shared" si="68"/>
        <v/>
      </c>
      <c r="P430" s="102" t="str">
        <f t="shared" si="69"/>
        <v/>
      </c>
      <c r="Q430" s="68">
        <f t="shared" si="70"/>
        <v>0</v>
      </c>
      <c r="R430" s="102" t="str">
        <f t="shared" si="65"/>
        <v/>
      </c>
    </row>
    <row r="431" spans="1:18">
      <c r="A431" s="58" t="str">
        <f t="shared" si="66"/>
        <v/>
      </c>
      <c r="B431" s="58"/>
      <c r="C431" s="57"/>
      <c r="D431" s="58"/>
      <c r="E431" s="58"/>
      <c r="F431" s="58"/>
      <c r="G431" s="58"/>
      <c r="H431" s="58"/>
      <c r="I431" s="58"/>
      <c r="J431" s="58" t="str">
        <f t="shared" si="62"/>
        <v/>
      </c>
      <c r="K431" s="58" t="str">
        <f t="shared" si="63"/>
        <v/>
      </c>
      <c r="L431" s="59" t="str">
        <f>IF(C431="","",DATEDIF(C431,'Premium Table'!$B$6,"Y"))</f>
        <v/>
      </c>
      <c r="M431" s="59" t="str">
        <f t="shared" si="67"/>
        <v/>
      </c>
      <c r="N431" s="59" t="str">
        <f t="shared" si="64"/>
        <v/>
      </c>
      <c r="O431" s="102" t="str">
        <f t="shared" si="68"/>
        <v/>
      </c>
      <c r="P431" s="102" t="str">
        <f t="shared" si="69"/>
        <v/>
      </c>
      <c r="Q431" s="68">
        <f t="shared" si="70"/>
        <v>0</v>
      </c>
      <c r="R431" s="102" t="str">
        <f t="shared" si="65"/>
        <v/>
      </c>
    </row>
    <row r="432" spans="1:18">
      <c r="A432" s="58" t="str">
        <f t="shared" si="66"/>
        <v/>
      </c>
      <c r="B432" s="58"/>
      <c r="C432" s="57"/>
      <c r="D432" s="58"/>
      <c r="E432" s="58"/>
      <c r="F432" s="58"/>
      <c r="G432" s="58"/>
      <c r="H432" s="58"/>
      <c r="I432" s="58"/>
      <c r="J432" s="58" t="str">
        <f t="shared" si="62"/>
        <v/>
      </c>
      <c r="K432" s="58" t="str">
        <f t="shared" si="63"/>
        <v/>
      </c>
      <c r="L432" s="59" t="str">
        <f>IF(C432="","",DATEDIF(C432,'Premium Table'!$B$6,"Y"))</f>
        <v/>
      </c>
      <c r="M432" s="59" t="str">
        <f t="shared" si="67"/>
        <v/>
      </c>
      <c r="N432" s="59" t="str">
        <f t="shared" si="64"/>
        <v/>
      </c>
      <c r="O432" s="102" t="str">
        <f t="shared" si="68"/>
        <v/>
      </c>
      <c r="P432" s="102" t="str">
        <f t="shared" si="69"/>
        <v/>
      </c>
      <c r="Q432" s="68">
        <f t="shared" si="70"/>
        <v>0</v>
      </c>
      <c r="R432" s="102" t="str">
        <f t="shared" si="65"/>
        <v/>
      </c>
    </row>
    <row r="433" spans="1:18">
      <c r="A433" s="58" t="str">
        <f t="shared" si="66"/>
        <v/>
      </c>
      <c r="B433" s="58"/>
      <c r="C433" s="57"/>
      <c r="D433" s="58"/>
      <c r="E433" s="58"/>
      <c r="F433" s="58"/>
      <c r="G433" s="58"/>
      <c r="H433" s="58"/>
      <c r="I433" s="58"/>
      <c r="J433" s="58" t="str">
        <f t="shared" si="62"/>
        <v/>
      </c>
      <c r="K433" s="58" t="str">
        <f t="shared" si="63"/>
        <v/>
      </c>
      <c r="L433" s="59" t="str">
        <f>IF(C433="","",DATEDIF(C433,'Premium Table'!$B$6,"Y"))</f>
        <v/>
      </c>
      <c r="M433" s="59" t="str">
        <f t="shared" si="67"/>
        <v/>
      </c>
      <c r="N433" s="59" t="str">
        <f t="shared" si="64"/>
        <v/>
      </c>
      <c r="O433" s="102" t="str">
        <f t="shared" si="68"/>
        <v/>
      </c>
      <c r="P433" s="102" t="str">
        <f t="shared" si="69"/>
        <v/>
      </c>
      <c r="Q433" s="68">
        <f t="shared" si="70"/>
        <v>0</v>
      </c>
      <c r="R433" s="102" t="str">
        <f t="shared" si="65"/>
        <v/>
      </c>
    </row>
    <row r="434" spans="1:18">
      <c r="A434" s="58" t="str">
        <f t="shared" si="66"/>
        <v/>
      </c>
      <c r="B434" s="58"/>
      <c r="C434" s="57"/>
      <c r="D434" s="58"/>
      <c r="E434" s="58"/>
      <c r="F434" s="58"/>
      <c r="G434" s="58"/>
      <c r="H434" s="58"/>
      <c r="I434" s="58"/>
      <c r="J434" s="58" t="str">
        <f t="shared" si="62"/>
        <v/>
      </c>
      <c r="K434" s="58" t="str">
        <f t="shared" si="63"/>
        <v/>
      </c>
      <c r="L434" s="59" t="str">
        <f>IF(C434="","",DATEDIF(C434,'Premium Table'!$B$6,"Y"))</f>
        <v/>
      </c>
      <c r="M434" s="59" t="str">
        <f t="shared" si="67"/>
        <v/>
      </c>
      <c r="N434" s="59" t="str">
        <f t="shared" si="64"/>
        <v/>
      </c>
      <c r="O434" s="102" t="str">
        <f t="shared" si="68"/>
        <v/>
      </c>
      <c r="P434" s="102" t="str">
        <f t="shared" si="69"/>
        <v/>
      </c>
      <c r="Q434" s="68">
        <f t="shared" si="70"/>
        <v>0</v>
      </c>
      <c r="R434" s="102" t="str">
        <f t="shared" si="65"/>
        <v/>
      </c>
    </row>
    <row r="435" spans="1:18">
      <c r="A435" s="58" t="str">
        <f t="shared" si="66"/>
        <v/>
      </c>
      <c r="B435" s="58"/>
      <c r="C435" s="57"/>
      <c r="D435" s="58"/>
      <c r="E435" s="58"/>
      <c r="F435" s="58"/>
      <c r="G435" s="58"/>
      <c r="H435" s="58"/>
      <c r="I435" s="58"/>
      <c r="J435" s="58" t="str">
        <f t="shared" si="62"/>
        <v/>
      </c>
      <c r="K435" s="58" t="str">
        <f t="shared" si="63"/>
        <v/>
      </c>
      <c r="L435" s="59" t="str">
        <f>IF(C435="","",DATEDIF(C435,'Premium Table'!$B$6,"Y"))</f>
        <v/>
      </c>
      <c r="M435" s="59" t="str">
        <f t="shared" si="67"/>
        <v/>
      </c>
      <c r="N435" s="59" t="str">
        <f t="shared" si="64"/>
        <v/>
      </c>
      <c r="O435" s="102" t="str">
        <f t="shared" si="68"/>
        <v/>
      </c>
      <c r="P435" s="102" t="str">
        <f t="shared" si="69"/>
        <v/>
      </c>
      <c r="Q435" s="68">
        <f t="shared" si="70"/>
        <v>0</v>
      </c>
      <c r="R435" s="102" t="str">
        <f t="shared" si="65"/>
        <v/>
      </c>
    </row>
    <row r="436" spans="1:18">
      <c r="A436" s="58" t="str">
        <f t="shared" si="66"/>
        <v/>
      </c>
      <c r="B436" s="58"/>
      <c r="C436" s="57"/>
      <c r="D436" s="58"/>
      <c r="E436" s="58"/>
      <c r="F436" s="58"/>
      <c r="G436" s="58"/>
      <c r="H436" s="58"/>
      <c r="I436" s="58"/>
      <c r="J436" s="58" t="str">
        <f t="shared" si="62"/>
        <v/>
      </c>
      <c r="K436" s="58" t="str">
        <f t="shared" si="63"/>
        <v/>
      </c>
      <c r="L436" s="59" t="str">
        <f>IF(C436="","",DATEDIF(C436,'Premium Table'!$B$6,"Y"))</f>
        <v/>
      </c>
      <c r="M436" s="59" t="str">
        <f t="shared" si="67"/>
        <v/>
      </c>
      <c r="N436" s="59" t="str">
        <f t="shared" si="64"/>
        <v/>
      </c>
      <c r="O436" s="102" t="str">
        <f t="shared" si="68"/>
        <v/>
      </c>
      <c r="P436" s="102" t="str">
        <f t="shared" si="69"/>
        <v/>
      </c>
      <c r="Q436" s="68">
        <f t="shared" si="70"/>
        <v>0</v>
      </c>
      <c r="R436" s="102" t="str">
        <f t="shared" si="65"/>
        <v/>
      </c>
    </row>
    <row r="437" spans="1:18">
      <c r="A437" s="58" t="str">
        <f t="shared" si="66"/>
        <v/>
      </c>
      <c r="B437" s="58"/>
      <c r="C437" s="57"/>
      <c r="D437" s="58"/>
      <c r="E437" s="58"/>
      <c r="F437" s="58"/>
      <c r="G437" s="58"/>
      <c r="H437" s="58"/>
      <c r="I437" s="58"/>
      <c r="J437" s="58" t="str">
        <f t="shared" si="62"/>
        <v/>
      </c>
      <c r="K437" s="58" t="str">
        <f t="shared" si="63"/>
        <v/>
      </c>
      <c r="L437" s="59" t="str">
        <f>IF(C437="","",DATEDIF(C437,'Premium Table'!$B$6,"Y"))</f>
        <v/>
      </c>
      <c r="M437" s="59" t="str">
        <f t="shared" si="67"/>
        <v/>
      </c>
      <c r="N437" s="59" t="str">
        <f t="shared" si="64"/>
        <v/>
      </c>
      <c r="O437" s="102" t="str">
        <f t="shared" si="68"/>
        <v/>
      </c>
      <c r="P437" s="102" t="str">
        <f t="shared" si="69"/>
        <v/>
      </c>
      <c r="Q437" s="68">
        <f t="shared" si="70"/>
        <v>0</v>
      </c>
      <c r="R437" s="102" t="str">
        <f t="shared" si="65"/>
        <v/>
      </c>
    </row>
    <row r="438" spans="1:18">
      <c r="A438" s="58" t="str">
        <f t="shared" si="66"/>
        <v/>
      </c>
      <c r="B438" s="58"/>
      <c r="C438" s="57"/>
      <c r="D438" s="58"/>
      <c r="E438" s="58"/>
      <c r="F438" s="58"/>
      <c r="G438" s="58"/>
      <c r="H438" s="58"/>
      <c r="I438" s="58"/>
      <c r="J438" s="58" t="str">
        <f t="shared" si="62"/>
        <v/>
      </c>
      <c r="K438" s="58" t="str">
        <f t="shared" si="63"/>
        <v/>
      </c>
      <c r="L438" s="59" t="str">
        <f>IF(C438="","",DATEDIF(C438,'Premium Table'!$B$6,"Y"))</f>
        <v/>
      </c>
      <c r="M438" s="59" t="str">
        <f t="shared" si="67"/>
        <v/>
      </c>
      <c r="N438" s="59" t="str">
        <f t="shared" si="64"/>
        <v/>
      </c>
      <c r="O438" s="102" t="str">
        <f t="shared" si="68"/>
        <v/>
      </c>
      <c r="P438" s="102" t="str">
        <f t="shared" si="69"/>
        <v/>
      </c>
      <c r="Q438" s="68">
        <f t="shared" si="70"/>
        <v>0</v>
      </c>
      <c r="R438" s="102" t="str">
        <f t="shared" si="65"/>
        <v/>
      </c>
    </row>
    <row r="439" spans="1:18">
      <c r="A439" s="58" t="str">
        <f t="shared" si="66"/>
        <v/>
      </c>
      <c r="B439" s="58"/>
      <c r="C439" s="57"/>
      <c r="D439" s="58"/>
      <c r="E439" s="58"/>
      <c r="F439" s="58"/>
      <c r="G439" s="58"/>
      <c r="H439" s="58"/>
      <c r="I439" s="58"/>
      <c r="J439" s="58" t="str">
        <f t="shared" si="62"/>
        <v/>
      </c>
      <c r="K439" s="58" t="str">
        <f t="shared" si="63"/>
        <v/>
      </c>
      <c r="L439" s="59" t="str">
        <f>IF(C439="","",DATEDIF(C439,'Premium Table'!$B$6,"Y"))</f>
        <v/>
      </c>
      <c r="M439" s="59" t="str">
        <f t="shared" si="67"/>
        <v/>
      </c>
      <c r="N439" s="59" t="str">
        <f t="shared" si="64"/>
        <v/>
      </c>
      <c r="O439" s="102" t="str">
        <f t="shared" si="68"/>
        <v/>
      </c>
      <c r="P439" s="102" t="str">
        <f t="shared" si="69"/>
        <v/>
      </c>
      <c r="Q439" s="68">
        <f t="shared" si="70"/>
        <v>0</v>
      </c>
      <c r="R439" s="102" t="str">
        <f t="shared" si="65"/>
        <v/>
      </c>
    </row>
    <row r="440" spans="1:18">
      <c r="A440" s="58" t="str">
        <f t="shared" si="66"/>
        <v/>
      </c>
      <c r="B440" s="58"/>
      <c r="C440" s="57"/>
      <c r="D440" s="58"/>
      <c r="E440" s="58"/>
      <c r="F440" s="58"/>
      <c r="G440" s="58"/>
      <c r="H440" s="58"/>
      <c r="I440" s="58"/>
      <c r="J440" s="58" t="str">
        <f t="shared" si="62"/>
        <v/>
      </c>
      <c r="K440" s="58" t="str">
        <f t="shared" si="63"/>
        <v/>
      </c>
      <c r="L440" s="59" t="str">
        <f>IF(C440="","",DATEDIF(C440,'Premium Table'!$B$6,"Y"))</f>
        <v/>
      </c>
      <c r="M440" s="59" t="str">
        <f t="shared" si="67"/>
        <v/>
      </c>
      <c r="N440" s="59" t="str">
        <f t="shared" si="64"/>
        <v/>
      </c>
      <c r="O440" s="102" t="str">
        <f t="shared" si="68"/>
        <v/>
      </c>
      <c r="P440" s="102" t="str">
        <f t="shared" si="69"/>
        <v/>
      </c>
      <c r="Q440" s="68">
        <f t="shared" si="70"/>
        <v>0</v>
      </c>
      <c r="R440" s="102" t="str">
        <f t="shared" si="65"/>
        <v/>
      </c>
    </row>
    <row r="441" spans="1:18">
      <c r="A441" s="58" t="str">
        <f t="shared" si="66"/>
        <v/>
      </c>
      <c r="B441" s="58"/>
      <c r="C441" s="57"/>
      <c r="D441" s="58"/>
      <c r="E441" s="58"/>
      <c r="F441" s="58"/>
      <c r="G441" s="58"/>
      <c r="H441" s="58"/>
      <c r="I441" s="58"/>
      <c r="J441" s="58" t="str">
        <f t="shared" si="62"/>
        <v/>
      </c>
      <c r="K441" s="58" t="str">
        <f t="shared" si="63"/>
        <v/>
      </c>
      <c r="L441" s="59" t="str">
        <f>IF(C441="","",DATEDIF(C441,'Premium Table'!$B$6,"Y"))</f>
        <v/>
      </c>
      <c r="M441" s="59" t="str">
        <f t="shared" si="67"/>
        <v/>
      </c>
      <c r="N441" s="59" t="str">
        <f t="shared" si="64"/>
        <v/>
      </c>
      <c r="O441" s="102" t="str">
        <f t="shared" si="68"/>
        <v/>
      </c>
      <c r="P441" s="102" t="str">
        <f t="shared" si="69"/>
        <v/>
      </c>
      <c r="Q441" s="68">
        <f t="shared" si="70"/>
        <v>0</v>
      </c>
      <c r="R441" s="102" t="str">
        <f t="shared" si="65"/>
        <v/>
      </c>
    </row>
    <row r="442" spans="1:18">
      <c r="A442" s="58" t="str">
        <f t="shared" si="66"/>
        <v/>
      </c>
      <c r="B442" s="58"/>
      <c r="C442" s="57"/>
      <c r="D442" s="58"/>
      <c r="E442" s="58"/>
      <c r="F442" s="58"/>
      <c r="G442" s="58"/>
      <c r="H442" s="58"/>
      <c r="I442" s="58"/>
      <c r="J442" s="58" t="str">
        <f t="shared" si="62"/>
        <v/>
      </c>
      <c r="K442" s="58" t="str">
        <f t="shared" si="63"/>
        <v/>
      </c>
      <c r="L442" s="59" t="str">
        <f>IF(C442="","",DATEDIF(C442,'Premium Table'!$B$6,"Y"))</f>
        <v/>
      </c>
      <c r="M442" s="59" t="str">
        <f t="shared" si="67"/>
        <v/>
      </c>
      <c r="N442" s="59" t="str">
        <f t="shared" si="64"/>
        <v/>
      </c>
      <c r="O442" s="102" t="str">
        <f t="shared" si="68"/>
        <v/>
      </c>
      <c r="P442" s="102" t="str">
        <f t="shared" si="69"/>
        <v/>
      </c>
      <c r="Q442" s="68">
        <f t="shared" si="70"/>
        <v>0</v>
      </c>
      <c r="R442" s="102" t="str">
        <f t="shared" si="65"/>
        <v/>
      </c>
    </row>
    <row r="443" spans="1:18">
      <c r="A443" s="58" t="str">
        <f t="shared" si="66"/>
        <v/>
      </c>
      <c r="B443" s="58"/>
      <c r="C443" s="57"/>
      <c r="D443" s="58"/>
      <c r="E443" s="58"/>
      <c r="F443" s="58"/>
      <c r="G443" s="58"/>
      <c r="H443" s="58"/>
      <c r="I443" s="58"/>
      <c r="J443" s="58" t="str">
        <f t="shared" si="62"/>
        <v/>
      </c>
      <c r="K443" s="58" t="str">
        <f t="shared" si="63"/>
        <v/>
      </c>
      <c r="L443" s="59" t="str">
        <f>IF(C443="","",DATEDIF(C443,'Premium Table'!$B$6,"Y"))</f>
        <v/>
      </c>
      <c r="M443" s="59" t="str">
        <f t="shared" si="67"/>
        <v/>
      </c>
      <c r="N443" s="59" t="str">
        <f t="shared" si="64"/>
        <v/>
      </c>
      <c r="O443" s="102" t="str">
        <f t="shared" si="68"/>
        <v/>
      </c>
      <c r="P443" s="102" t="str">
        <f t="shared" si="69"/>
        <v/>
      </c>
      <c r="Q443" s="68">
        <f t="shared" si="70"/>
        <v>0</v>
      </c>
      <c r="R443" s="102" t="str">
        <f t="shared" si="65"/>
        <v/>
      </c>
    </row>
    <row r="444" spans="1:18">
      <c r="A444" s="58" t="str">
        <f t="shared" si="66"/>
        <v/>
      </c>
      <c r="B444" s="58"/>
      <c r="C444" s="57"/>
      <c r="D444" s="58"/>
      <c r="E444" s="58"/>
      <c r="F444" s="58"/>
      <c r="G444" s="58"/>
      <c r="H444" s="58"/>
      <c r="I444" s="58"/>
      <c r="J444" s="58" t="str">
        <f t="shared" si="62"/>
        <v/>
      </c>
      <c r="K444" s="58" t="str">
        <f t="shared" si="63"/>
        <v/>
      </c>
      <c r="L444" s="59" t="str">
        <f>IF(C444="","",DATEDIF(C444,'Premium Table'!$B$6,"Y"))</f>
        <v/>
      </c>
      <c r="M444" s="59" t="str">
        <f t="shared" si="67"/>
        <v/>
      </c>
      <c r="N444" s="59" t="str">
        <f t="shared" si="64"/>
        <v/>
      </c>
      <c r="O444" s="102" t="str">
        <f t="shared" si="68"/>
        <v/>
      </c>
      <c r="P444" s="102" t="str">
        <f t="shared" si="69"/>
        <v/>
      </c>
      <c r="Q444" s="68">
        <f t="shared" si="70"/>
        <v>0</v>
      </c>
      <c r="R444" s="102" t="str">
        <f t="shared" si="65"/>
        <v/>
      </c>
    </row>
    <row r="445" spans="1:18">
      <c r="A445" s="58" t="str">
        <f t="shared" si="66"/>
        <v/>
      </c>
      <c r="B445" s="58"/>
      <c r="C445" s="57"/>
      <c r="D445" s="58"/>
      <c r="E445" s="58"/>
      <c r="F445" s="58"/>
      <c r="G445" s="58"/>
      <c r="H445" s="58"/>
      <c r="I445" s="58"/>
      <c r="J445" s="58" t="str">
        <f t="shared" si="62"/>
        <v/>
      </c>
      <c r="K445" s="58" t="str">
        <f t="shared" si="63"/>
        <v/>
      </c>
      <c r="L445" s="59" t="str">
        <f>IF(C445="","",DATEDIF(C445,'Premium Table'!$B$6,"Y"))</f>
        <v/>
      </c>
      <c r="M445" s="59" t="str">
        <f t="shared" si="67"/>
        <v/>
      </c>
      <c r="N445" s="59" t="str">
        <f t="shared" si="64"/>
        <v/>
      </c>
      <c r="O445" s="102" t="str">
        <f t="shared" si="68"/>
        <v/>
      </c>
      <c r="P445" s="102" t="str">
        <f t="shared" si="69"/>
        <v/>
      </c>
      <c r="Q445" s="68">
        <f t="shared" si="70"/>
        <v>0</v>
      </c>
      <c r="R445" s="102" t="str">
        <f t="shared" si="65"/>
        <v/>
      </c>
    </row>
    <row r="446" spans="1:18">
      <c r="A446" s="58" t="str">
        <f t="shared" si="66"/>
        <v/>
      </c>
      <c r="B446" s="58"/>
      <c r="C446" s="57"/>
      <c r="D446" s="58"/>
      <c r="E446" s="58"/>
      <c r="F446" s="58"/>
      <c r="G446" s="58"/>
      <c r="H446" s="58"/>
      <c r="I446" s="58"/>
      <c r="J446" s="58" t="str">
        <f t="shared" si="62"/>
        <v/>
      </c>
      <c r="K446" s="58" t="str">
        <f t="shared" si="63"/>
        <v/>
      </c>
      <c r="L446" s="59" t="str">
        <f>IF(C446="","",DATEDIF(C446,'Premium Table'!$B$6,"Y"))</f>
        <v/>
      </c>
      <c r="M446" s="59" t="str">
        <f t="shared" si="67"/>
        <v/>
      </c>
      <c r="N446" s="59" t="str">
        <f t="shared" si="64"/>
        <v/>
      </c>
      <c r="O446" s="102" t="str">
        <f t="shared" si="68"/>
        <v/>
      </c>
      <c r="P446" s="102" t="str">
        <f t="shared" si="69"/>
        <v/>
      </c>
      <c r="Q446" s="68">
        <f t="shared" si="70"/>
        <v>0</v>
      </c>
      <c r="R446" s="102" t="str">
        <f t="shared" si="65"/>
        <v/>
      </c>
    </row>
    <row r="447" spans="1:18">
      <c r="A447" s="58" t="str">
        <f t="shared" si="66"/>
        <v/>
      </c>
      <c r="B447" s="58"/>
      <c r="C447" s="57"/>
      <c r="D447" s="58"/>
      <c r="E447" s="58"/>
      <c r="F447" s="58"/>
      <c r="G447" s="58"/>
      <c r="H447" s="58"/>
      <c r="I447" s="58"/>
      <c r="J447" s="58" t="str">
        <f t="shared" si="62"/>
        <v/>
      </c>
      <c r="K447" s="58" t="str">
        <f t="shared" si="63"/>
        <v/>
      </c>
      <c r="L447" s="59" t="str">
        <f>IF(C447="","",DATEDIF(C447,'Premium Table'!$B$6,"Y"))</f>
        <v/>
      </c>
      <c r="M447" s="59" t="str">
        <f t="shared" si="67"/>
        <v/>
      </c>
      <c r="N447" s="59" t="str">
        <f t="shared" si="64"/>
        <v/>
      </c>
      <c r="O447" s="102" t="str">
        <f t="shared" si="68"/>
        <v/>
      </c>
      <c r="P447" s="102" t="str">
        <f t="shared" si="69"/>
        <v/>
      </c>
      <c r="Q447" s="68">
        <f t="shared" si="70"/>
        <v>0</v>
      </c>
      <c r="R447" s="102" t="str">
        <f t="shared" si="65"/>
        <v/>
      </c>
    </row>
    <row r="448" spans="1:18">
      <c r="A448" s="58" t="str">
        <f t="shared" si="66"/>
        <v/>
      </c>
      <c r="B448" s="58"/>
      <c r="C448" s="57"/>
      <c r="D448" s="58"/>
      <c r="E448" s="58"/>
      <c r="F448" s="58"/>
      <c r="G448" s="58"/>
      <c r="H448" s="58"/>
      <c r="I448" s="58"/>
      <c r="J448" s="58" t="str">
        <f t="shared" si="62"/>
        <v/>
      </c>
      <c r="K448" s="58" t="str">
        <f t="shared" si="63"/>
        <v/>
      </c>
      <c r="L448" s="59" t="str">
        <f>IF(C448="","",DATEDIF(C448,'Premium Table'!$B$6,"Y"))</f>
        <v/>
      </c>
      <c r="M448" s="59" t="str">
        <f t="shared" si="67"/>
        <v/>
      </c>
      <c r="N448" s="59" t="str">
        <f t="shared" si="64"/>
        <v/>
      </c>
      <c r="O448" s="102" t="str">
        <f t="shared" si="68"/>
        <v/>
      </c>
      <c r="P448" s="102" t="str">
        <f t="shared" si="69"/>
        <v/>
      </c>
      <c r="Q448" s="68">
        <f t="shared" si="70"/>
        <v>0</v>
      </c>
      <c r="R448" s="102" t="str">
        <f t="shared" si="65"/>
        <v/>
      </c>
    </row>
    <row r="449" spans="1:18">
      <c r="A449" s="58" t="str">
        <f t="shared" si="66"/>
        <v/>
      </c>
      <c r="B449" s="58"/>
      <c r="C449" s="57"/>
      <c r="D449" s="58"/>
      <c r="E449" s="58"/>
      <c r="F449" s="58"/>
      <c r="G449" s="58"/>
      <c r="H449" s="58"/>
      <c r="I449" s="58"/>
      <c r="J449" s="58" t="str">
        <f t="shared" si="62"/>
        <v/>
      </c>
      <c r="K449" s="58" t="str">
        <f t="shared" si="63"/>
        <v/>
      </c>
      <c r="L449" s="59" t="str">
        <f>IF(C449="","",DATEDIF(C449,'Premium Table'!$B$6,"Y"))</f>
        <v/>
      </c>
      <c r="M449" s="59" t="str">
        <f t="shared" si="67"/>
        <v/>
      </c>
      <c r="N449" s="59" t="str">
        <f t="shared" si="64"/>
        <v/>
      </c>
      <c r="O449" s="102" t="str">
        <f t="shared" si="68"/>
        <v/>
      </c>
      <c r="P449" s="102" t="str">
        <f t="shared" si="69"/>
        <v/>
      </c>
      <c r="Q449" s="68">
        <f t="shared" si="70"/>
        <v>0</v>
      </c>
      <c r="R449" s="102" t="str">
        <f t="shared" si="65"/>
        <v/>
      </c>
    </row>
    <row r="450" spans="1:18">
      <c r="A450" s="58" t="str">
        <f t="shared" si="66"/>
        <v/>
      </c>
      <c r="B450" s="58"/>
      <c r="C450" s="57"/>
      <c r="D450" s="58"/>
      <c r="E450" s="58"/>
      <c r="F450" s="58"/>
      <c r="G450" s="58"/>
      <c r="H450" s="58"/>
      <c r="I450" s="58"/>
      <c r="J450" s="58" t="str">
        <f t="shared" si="62"/>
        <v/>
      </c>
      <c r="K450" s="58" t="str">
        <f t="shared" si="63"/>
        <v/>
      </c>
      <c r="L450" s="59" t="str">
        <f>IF(C450="","",DATEDIF(C450,'Premium Table'!$B$6,"Y"))</f>
        <v/>
      </c>
      <c r="M450" s="59" t="str">
        <f t="shared" si="67"/>
        <v/>
      </c>
      <c r="N450" s="59" t="str">
        <f t="shared" si="64"/>
        <v/>
      </c>
      <c r="O450" s="102" t="str">
        <f t="shared" si="68"/>
        <v/>
      </c>
      <c r="P450" s="102" t="str">
        <f t="shared" si="69"/>
        <v/>
      </c>
      <c r="Q450" s="68">
        <f t="shared" si="70"/>
        <v>0</v>
      </c>
      <c r="R450" s="102" t="str">
        <f t="shared" si="65"/>
        <v/>
      </c>
    </row>
    <row r="451" spans="1:18">
      <c r="A451" s="58" t="str">
        <f t="shared" si="66"/>
        <v/>
      </c>
      <c r="B451" s="58"/>
      <c r="C451" s="57"/>
      <c r="D451" s="58"/>
      <c r="E451" s="58"/>
      <c r="F451" s="58"/>
      <c r="G451" s="58"/>
      <c r="H451" s="58"/>
      <c r="I451" s="58"/>
      <c r="J451" s="58" t="str">
        <f t="shared" si="62"/>
        <v/>
      </c>
      <c r="K451" s="58" t="str">
        <f t="shared" si="63"/>
        <v/>
      </c>
      <c r="L451" s="59" t="str">
        <f>IF(C451="","",DATEDIF(C451,'Premium Table'!$B$6,"Y"))</f>
        <v/>
      </c>
      <c r="M451" s="59" t="str">
        <f t="shared" si="67"/>
        <v/>
      </c>
      <c r="N451" s="59" t="str">
        <f t="shared" si="64"/>
        <v/>
      </c>
      <c r="O451" s="102" t="str">
        <f t="shared" si="68"/>
        <v/>
      </c>
      <c r="P451" s="102" t="str">
        <f t="shared" si="69"/>
        <v/>
      </c>
      <c r="Q451" s="68">
        <f t="shared" si="70"/>
        <v>0</v>
      </c>
      <c r="R451" s="102" t="str">
        <f t="shared" si="65"/>
        <v/>
      </c>
    </row>
    <row r="452" spans="1:18">
      <c r="A452" s="58" t="str">
        <f t="shared" si="66"/>
        <v/>
      </c>
      <c r="B452" s="58"/>
      <c r="C452" s="57"/>
      <c r="D452" s="58"/>
      <c r="E452" s="58"/>
      <c r="F452" s="58"/>
      <c r="G452" s="58"/>
      <c r="H452" s="58"/>
      <c r="I452" s="58"/>
      <c r="J452" s="58" t="str">
        <f t="shared" si="62"/>
        <v/>
      </c>
      <c r="K452" s="58" t="str">
        <f t="shared" si="63"/>
        <v/>
      </c>
      <c r="L452" s="59" t="str">
        <f>IF(C452="","",DATEDIF(C452,'Premium Table'!$B$6,"Y"))</f>
        <v/>
      </c>
      <c r="M452" s="59" t="str">
        <f t="shared" si="67"/>
        <v/>
      </c>
      <c r="N452" s="59" t="str">
        <f t="shared" si="64"/>
        <v/>
      </c>
      <c r="O452" s="102" t="str">
        <f t="shared" si="68"/>
        <v/>
      </c>
      <c r="P452" s="102" t="str">
        <f t="shared" si="69"/>
        <v/>
      </c>
      <c r="Q452" s="68">
        <f t="shared" si="70"/>
        <v>0</v>
      </c>
      <c r="R452" s="102" t="str">
        <f t="shared" si="65"/>
        <v/>
      </c>
    </row>
    <row r="453" spans="1:18">
      <c r="A453" s="58" t="str">
        <f t="shared" si="66"/>
        <v/>
      </c>
      <c r="B453" s="58"/>
      <c r="C453" s="57"/>
      <c r="D453" s="58"/>
      <c r="E453" s="58"/>
      <c r="F453" s="58"/>
      <c r="G453" s="58"/>
      <c r="H453" s="58"/>
      <c r="I453" s="58"/>
      <c r="J453" s="58" t="str">
        <f t="shared" si="62"/>
        <v/>
      </c>
      <c r="K453" s="58" t="str">
        <f t="shared" si="63"/>
        <v/>
      </c>
      <c r="L453" s="59" t="str">
        <f>IF(C453="","",DATEDIF(C453,'Premium Table'!$B$6,"Y"))</f>
        <v/>
      </c>
      <c r="M453" s="59" t="str">
        <f t="shared" si="67"/>
        <v/>
      </c>
      <c r="N453" s="59" t="str">
        <f t="shared" si="64"/>
        <v/>
      </c>
      <c r="O453" s="102" t="str">
        <f t="shared" si="68"/>
        <v/>
      </c>
      <c r="P453" s="102" t="str">
        <f t="shared" si="69"/>
        <v/>
      </c>
      <c r="Q453" s="68">
        <f t="shared" si="70"/>
        <v>0</v>
      </c>
      <c r="R453" s="102" t="str">
        <f t="shared" si="65"/>
        <v/>
      </c>
    </row>
    <row r="454" spans="1:18">
      <c r="A454" s="58" t="str">
        <f t="shared" si="66"/>
        <v/>
      </c>
      <c r="B454" s="58"/>
      <c r="C454" s="57"/>
      <c r="D454" s="58"/>
      <c r="E454" s="58"/>
      <c r="F454" s="58"/>
      <c r="G454" s="58"/>
      <c r="H454" s="58"/>
      <c r="I454" s="58"/>
      <c r="J454" s="58" t="str">
        <f t="shared" ref="J454:J506" si="71">IF(D454="","",E454&amp;LEFT(D454)&amp;IF(F454="Employee","E","D"))</f>
        <v/>
      </c>
      <c r="K454" s="58" t="str">
        <f t="shared" ref="K454:K506" si="72">IF(J454="","",VLOOKUP(J454,$Y$19:$Z$50,2,FALSE))</f>
        <v/>
      </c>
      <c r="L454" s="59" t="str">
        <f>IF(C454="","",DATEDIF(C454,'Premium Table'!$B$6,"Y"))</f>
        <v/>
      </c>
      <c r="M454" s="59" t="str">
        <f t="shared" si="67"/>
        <v/>
      </c>
      <c r="N454" s="59" t="str">
        <f t="shared" ref="N454:N506" si="73">IF(L454="","",IF(M454="","",IF(H454="DXB",VLOOKUP(M454,DXBAgeBr,3,FALSE),IF(H454="AUH",VLOOKUP(M454,AUHAgeBr,2,FALSE),""))))</f>
        <v/>
      </c>
      <c r="O454" s="102" t="str">
        <f t="shared" si="68"/>
        <v/>
      </c>
      <c r="P454" s="102" t="str">
        <f t="shared" si="69"/>
        <v/>
      </c>
      <c r="Q454" s="68">
        <f t="shared" si="70"/>
        <v>0</v>
      </c>
      <c r="R454" s="102" t="str">
        <f t="shared" ref="R454:R506" si="74">IF(M454="","",O454+Q454)</f>
        <v/>
      </c>
    </row>
    <row r="455" spans="1:18">
      <c r="A455" s="58" t="str">
        <f t="shared" ref="A455:A506" si="75">IF(C455="","",A454+1)</f>
        <v/>
      </c>
      <c r="B455" s="58"/>
      <c r="C455" s="57"/>
      <c r="D455" s="58"/>
      <c r="E455" s="58"/>
      <c r="F455" s="58"/>
      <c r="G455" s="58"/>
      <c r="H455" s="58"/>
      <c r="I455" s="58"/>
      <c r="J455" s="58" t="str">
        <f t="shared" si="71"/>
        <v/>
      </c>
      <c r="K455" s="58" t="str">
        <f t="shared" si="72"/>
        <v/>
      </c>
      <c r="L455" s="59" t="str">
        <f>IF(C455="","",DATEDIF(C455,'Premium Table'!$B$6,"Y"))</f>
        <v/>
      </c>
      <c r="M455" s="59" t="str">
        <f t="shared" ref="M455:M506" si="76">IF(L455="","",IF(H455="","Choose Plan (DXB/AUH)",IF(H455="DXB",VLOOKUP(L455,$V$55:$W$154,2,FALSE),IF(H455="AUH",VLOOKUP(L455,$V$55:$X$154,3,FALSE),"Choose Plan (DXB/AUH)"))))</f>
        <v/>
      </c>
      <c r="N455" s="59" t="str">
        <f t="shared" si="73"/>
        <v/>
      </c>
      <c r="O455" s="102" t="str">
        <f t="shared" ref="O455:O506" si="77">IF(M455="","",VLOOKUP(N455,$V$5:$BB$17,K455,FALSE))</f>
        <v/>
      </c>
      <c r="P455" s="102" t="str">
        <f t="shared" ref="P455:P506" si="78">IF(L455="","",IF(H455="DXB",46,IF(H455="AUH",51,"")))</f>
        <v/>
      </c>
      <c r="Q455" s="68">
        <f t="shared" ref="Q455:Q506" si="79">IF(AND(LEFT(D455,1)="F",G455="Married",L455&gt;17,L455&lt;P455),HLOOKUP(E455,$W$1:$AA$2,2,FALSE),0)</f>
        <v>0</v>
      </c>
      <c r="R455" s="102" t="str">
        <f t="shared" si="74"/>
        <v/>
      </c>
    </row>
    <row r="456" spans="1:18">
      <c r="A456" s="58" t="str">
        <f t="shared" si="75"/>
        <v/>
      </c>
      <c r="B456" s="58"/>
      <c r="C456" s="57"/>
      <c r="D456" s="58"/>
      <c r="E456" s="58"/>
      <c r="F456" s="58"/>
      <c r="G456" s="58"/>
      <c r="H456" s="58"/>
      <c r="I456" s="58"/>
      <c r="J456" s="58" t="str">
        <f t="shared" si="71"/>
        <v/>
      </c>
      <c r="K456" s="58" t="str">
        <f t="shared" si="72"/>
        <v/>
      </c>
      <c r="L456" s="59" t="str">
        <f>IF(C456="","",DATEDIF(C456,'Premium Table'!$B$6,"Y"))</f>
        <v/>
      </c>
      <c r="M456" s="59" t="str">
        <f t="shared" si="76"/>
        <v/>
      </c>
      <c r="N456" s="59" t="str">
        <f t="shared" si="73"/>
        <v/>
      </c>
      <c r="O456" s="102" t="str">
        <f t="shared" si="77"/>
        <v/>
      </c>
      <c r="P456" s="102" t="str">
        <f t="shared" si="78"/>
        <v/>
      </c>
      <c r="Q456" s="68">
        <f t="shared" si="79"/>
        <v>0</v>
      </c>
      <c r="R456" s="102" t="str">
        <f t="shared" si="74"/>
        <v/>
      </c>
    </row>
    <row r="457" spans="1:18">
      <c r="A457" s="58" t="str">
        <f t="shared" si="75"/>
        <v/>
      </c>
      <c r="B457" s="58"/>
      <c r="C457" s="57"/>
      <c r="D457" s="58"/>
      <c r="E457" s="58"/>
      <c r="F457" s="58"/>
      <c r="G457" s="58"/>
      <c r="H457" s="58"/>
      <c r="I457" s="58"/>
      <c r="J457" s="58" t="str">
        <f t="shared" si="71"/>
        <v/>
      </c>
      <c r="K457" s="58" t="str">
        <f t="shared" si="72"/>
        <v/>
      </c>
      <c r="L457" s="59" t="str">
        <f>IF(C457="","",DATEDIF(C457,'Premium Table'!$B$6,"Y"))</f>
        <v/>
      </c>
      <c r="M457" s="59" t="str">
        <f t="shared" si="76"/>
        <v/>
      </c>
      <c r="N457" s="59" t="str">
        <f t="shared" si="73"/>
        <v/>
      </c>
      <c r="O457" s="102" t="str">
        <f t="shared" si="77"/>
        <v/>
      </c>
      <c r="P457" s="102" t="str">
        <f t="shared" si="78"/>
        <v/>
      </c>
      <c r="Q457" s="68">
        <f t="shared" si="79"/>
        <v>0</v>
      </c>
      <c r="R457" s="102" t="str">
        <f t="shared" si="74"/>
        <v/>
      </c>
    </row>
    <row r="458" spans="1:18">
      <c r="A458" s="58" t="str">
        <f t="shared" si="75"/>
        <v/>
      </c>
      <c r="B458" s="58"/>
      <c r="C458" s="57"/>
      <c r="D458" s="58"/>
      <c r="E458" s="58"/>
      <c r="F458" s="58"/>
      <c r="G458" s="58"/>
      <c r="H458" s="58"/>
      <c r="I458" s="58"/>
      <c r="J458" s="58" t="str">
        <f t="shared" si="71"/>
        <v/>
      </c>
      <c r="K458" s="58" t="str">
        <f t="shared" si="72"/>
        <v/>
      </c>
      <c r="L458" s="59" t="str">
        <f>IF(C458="","",DATEDIF(C458,'Premium Table'!$B$6,"Y"))</f>
        <v/>
      </c>
      <c r="M458" s="59" t="str">
        <f t="shared" si="76"/>
        <v/>
      </c>
      <c r="N458" s="59" t="str">
        <f t="shared" si="73"/>
        <v/>
      </c>
      <c r="O458" s="102" t="str">
        <f t="shared" si="77"/>
        <v/>
      </c>
      <c r="P458" s="102" t="str">
        <f t="shared" si="78"/>
        <v/>
      </c>
      <c r="Q458" s="68">
        <f t="shared" si="79"/>
        <v>0</v>
      </c>
      <c r="R458" s="102" t="str">
        <f t="shared" si="74"/>
        <v/>
      </c>
    </row>
    <row r="459" spans="1:18">
      <c r="A459" s="58" t="str">
        <f t="shared" si="75"/>
        <v/>
      </c>
      <c r="B459" s="58"/>
      <c r="C459" s="57"/>
      <c r="D459" s="58"/>
      <c r="E459" s="58"/>
      <c r="F459" s="58"/>
      <c r="G459" s="58"/>
      <c r="H459" s="58"/>
      <c r="I459" s="58"/>
      <c r="J459" s="58" t="str">
        <f t="shared" si="71"/>
        <v/>
      </c>
      <c r="K459" s="58" t="str">
        <f t="shared" si="72"/>
        <v/>
      </c>
      <c r="L459" s="59" t="str">
        <f>IF(C459="","",DATEDIF(C459,'Premium Table'!$B$6,"Y"))</f>
        <v/>
      </c>
      <c r="M459" s="59" t="str">
        <f t="shared" si="76"/>
        <v/>
      </c>
      <c r="N459" s="59" t="str">
        <f t="shared" si="73"/>
        <v/>
      </c>
      <c r="O459" s="102" t="str">
        <f t="shared" si="77"/>
        <v/>
      </c>
      <c r="P459" s="102" t="str">
        <f t="shared" si="78"/>
        <v/>
      </c>
      <c r="Q459" s="68">
        <f t="shared" si="79"/>
        <v>0</v>
      </c>
      <c r="R459" s="102" t="str">
        <f t="shared" si="74"/>
        <v/>
      </c>
    </row>
    <row r="460" spans="1:18">
      <c r="A460" s="58" t="str">
        <f t="shared" si="75"/>
        <v/>
      </c>
      <c r="B460" s="58"/>
      <c r="C460" s="57"/>
      <c r="D460" s="58"/>
      <c r="E460" s="58"/>
      <c r="F460" s="58"/>
      <c r="G460" s="58"/>
      <c r="H460" s="58"/>
      <c r="I460" s="58"/>
      <c r="J460" s="58" t="str">
        <f t="shared" si="71"/>
        <v/>
      </c>
      <c r="K460" s="58" t="str">
        <f t="shared" si="72"/>
        <v/>
      </c>
      <c r="L460" s="59" t="str">
        <f>IF(C460="","",DATEDIF(C460,'Premium Table'!$B$6,"Y"))</f>
        <v/>
      </c>
      <c r="M460" s="59" t="str">
        <f t="shared" si="76"/>
        <v/>
      </c>
      <c r="N460" s="59" t="str">
        <f t="shared" si="73"/>
        <v/>
      </c>
      <c r="O460" s="102" t="str">
        <f t="shared" si="77"/>
        <v/>
      </c>
      <c r="P460" s="102" t="str">
        <f t="shared" si="78"/>
        <v/>
      </c>
      <c r="Q460" s="68">
        <f t="shared" si="79"/>
        <v>0</v>
      </c>
      <c r="R460" s="102" t="str">
        <f t="shared" si="74"/>
        <v/>
      </c>
    </row>
    <row r="461" spans="1:18">
      <c r="A461" s="58" t="str">
        <f t="shared" si="75"/>
        <v/>
      </c>
      <c r="B461" s="58"/>
      <c r="C461" s="57"/>
      <c r="D461" s="58"/>
      <c r="E461" s="58"/>
      <c r="F461" s="58"/>
      <c r="G461" s="58"/>
      <c r="H461" s="58"/>
      <c r="I461" s="58"/>
      <c r="J461" s="58" t="str">
        <f t="shared" si="71"/>
        <v/>
      </c>
      <c r="K461" s="58" t="str">
        <f t="shared" si="72"/>
        <v/>
      </c>
      <c r="L461" s="59" t="str">
        <f>IF(C461="","",DATEDIF(C461,'Premium Table'!$B$6,"Y"))</f>
        <v/>
      </c>
      <c r="M461" s="59" t="str">
        <f t="shared" si="76"/>
        <v/>
      </c>
      <c r="N461" s="59" t="str">
        <f t="shared" si="73"/>
        <v/>
      </c>
      <c r="O461" s="102" t="str">
        <f t="shared" si="77"/>
        <v/>
      </c>
      <c r="P461" s="102" t="str">
        <f t="shared" si="78"/>
        <v/>
      </c>
      <c r="Q461" s="68">
        <f t="shared" si="79"/>
        <v>0</v>
      </c>
      <c r="R461" s="102" t="str">
        <f t="shared" si="74"/>
        <v/>
      </c>
    </row>
    <row r="462" spans="1:18">
      <c r="A462" s="58" t="str">
        <f t="shared" si="75"/>
        <v/>
      </c>
      <c r="B462" s="58"/>
      <c r="C462" s="57"/>
      <c r="D462" s="58"/>
      <c r="E462" s="58"/>
      <c r="F462" s="58"/>
      <c r="G462" s="58"/>
      <c r="H462" s="58"/>
      <c r="I462" s="58"/>
      <c r="J462" s="58" t="str">
        <f t="shared" si="71"/>
        <v/>
      </c>
      <c r="K462" s="58" t="str">
        <f t="shared" si="72"/>
        <v/>
      </c>
      <c r="L462" s="59" t="str">
        <f>IF(C462="","",DATEDIF(C462,'Premium Table'!$B$6,"Y"))</f>
        <v/>
      </c>
      <c r="M462" s="59" t="str">
        <f t="shared" si="76"/>
        <v/>
      </c>
      <c r="N462" s="59" t="str">
        <f t="shared" si="73"/>
        <v/>
      </c>
      <c r="O462" s="102" t="str">
        <f t="shared" si="77"/>
        <v/>
      </c>
      <c r="P462" s="102" t="str">
        <f t="shared" si="78"/>
        <v/>
      </c>
      <c r="Q462" s="68">
        <f t="shared" si="79"/>
        <v>0</v>
      </c>
      <c r="R462" s="102" t="str">
        <f t="shared" si="74"/>
        <v/>
      </c>
    </row>
    <row r="463" spans="1:18">
      <c r="A463" s="58" t="str">
        <f t="shared" si="75"/>
        <v/>
      </c>
      <c r="B463" s="58"/>
      <c r="C463" s="57"/>
      <c r="D463" s="58"/>
      <c r="E463" s="58"/>
      <c r="F463" s="58"/>
      <c r="G463" s="58"/>
      <c r="H463" s="58"/>
      <c r="I463" s="58"/>
      <c r="J463" s="58" t="str">
        <f t="shared" si="71"/>
        <v/>
      </c>
      <c r="K463" s="58" t="str">
        <f t="shared" si="72"/>
        <v/>
      </c>
      <c r="L463" s="59" t="str">
        <f>IF(C463="","",DATEDIF(C463,'Premium Table'!$B$6,"Y"))</f>
        <v/>
      </c>
      <c r="M463" s="59" t="str">
        <f t="shared" si="76"/>
        <v/>
      </c>
      <c r="N463" s="59" t="str">
        <f t="shared" si="73"/>
        <v/>
      </c>
      <c r="O463" s="102" t="str">
        <f t="shared" si="77"/>
        <v/>
      </c>
      <c r="P463" s="102" t="str">
        <f t="shared" si="78"/>
        <v/>
      </c>
      <c r="Q463" s="68">
        <f t="shared" si="79"/>
        <v>0</v>
      </c>
      <c r="R463" s="102" t="str">
        <f t="shared" si="74"/>
        <v/>
      </c>
    </row>
    <row r="464" spans="1:18">
      <c r="A464" s="58" t="str">
        <f t="shared" si="75"/>
        <v/>
      </c>
      <c r="B464" s="58"/>
      <c r="C464" s="57"/>
      <c r="D464" s="58"/>
      <c r="E464" s="58"/>
      <c r="F464" s="58"/>
      <c r="G464" s="58"/>
      <c r="H464" s="58"/>
      <c r="I464" s="58"/>
      <c r="J464" s="58" t="str">
        <f t="shared" si="71"/>
        <v/>
      </c>
      <c r="K464" s="58" t="str">
        <f t="shared" si="72"/>
        <v/>
      </c>
      <c r="L464" s="59" t="str">
        <f>IF(C464="","",DATEDIF(C464,'Premium Table'!$B$6,"Y"))</f>
        <v/>
      </c>
      <c r="M464" s="59" t="str">
        <f t="shared" si="76"/>
        <v/>
      </c>
      <c r="N464" s="59" t="str">
        <f t="shared" si="73"/>
        <v/>
      </c>
      <c r="O464" s="102" t="str">
        <f t="shared" si="77"/>
        <v/>
      </c>
      <c r="P464" s="102" t="str">
        <f t="shared" si="78"/>
        <v/>
      </c>
      <c r="Q464" s="68">
        <f t="shared" si="79"/>
        <v>0</v>
      </c>
      <c r="R464" s="102" t="str">
        <f t="shared" si="74"/>
        <v/>
      </c>
    </row>
    <row r="465" spans="1:18">
      <c r="A465" s="58" t="str">
        <f t="shared" si="75"/>
        <v/>
      </c>
      <c r="B465" s="58"/>
      <c r="C465" s="57"/>
      <c r="D465" s="58"/>
      <c r="E465" s="58"/>
      <c r="F465" s="58"/>
      <c r="G465" s="58"/>
      <c r="H465" s="58"/>
      <c r="I465" s="58"/>
      <c r="J465" s="58" t="str">
        <f t="shared" si="71"/>
        <v/>
      </c>
      <c r="K465" s="58" t="str">
        <f t="shared" si="72"/>
        <v/>
      </c>
      <c r="L465" s="59" t="str">
        <f>IF(C465="","",DATEDIF(C465,'Premium Table'!$B$6,"Y"))</f>
        <v/>
      </c>
      <c r="M465" s="59" t="str">
        <f t="shared" si="76"/>
        <v/>
      </c>
      <c r="N465" s="59" t="str">
        <f t="shared" si="73"/>
        <v/>
      </c>
      <c r="O465" s="102" t="str">
        <f t="shared" si="77"/>
        <v/>
      </c>
      <c r="P465" s="102" t="str">
        <f t="shared" si="78"/>
        <v/>
      </c>
      <c r="Q465" s="68">
        <f t="shared" si="79"/>
        <v>0</v>
      </c>
      <c r="R465" s="102" t="str">
        <f t="shared" si="74"/>
        <v/>
      </c>
    </row>
    <row r="466" spans="1:18">
      <c r="A466" s="58" t="str">
        <f t="shared" si="75"/>
        <v/>
      </c>
      <c r="B466" s="58"/>
      <c r="C466" s="57"/>
      <c r="D466" s="58"/>
      <c r="E466" s="58"/>
      <c r="F466" s="58"/>
      <c r="G466" s="58"/>
      <c r="H466" s="58"/>
      <c r="I466" s="58"/>
      <c r="J466" s="58" t="str">
        <f t="shared" si="71"/>
        <v/>
      </c>
      <c r="K466" s="58" t="str">
        <f t="shared" si="72"/>
        <v/>
      </c>
      <c r="L466" s="59" t="str">
        <f>IF(C466="","",DATEDIF(C466,'Premium Table'!$B$6,"Y"))</f>
        <v/>
      </c>
      <c r="M466" s="59" t="str">
        <f t="shared" si="76"/>
        <v/>
      </c>
      <c r="N466" s="59" t="str">
        <f t="shared" si="73"/>
        <v/>
      </c>
      <c r="O466" s="102" t="str">
        <f t="shared" si="77"/>
        <v/>
      </c>
      <c r="P466" s="102" t="str">
        <f t="shared" si="78"/>
        <v/>
      </c>
      <c r="Q466" s="68">
        <f t="shared" si="79"/>
        <v>0</v>
      </c>
      <c r="R466" s="102" t="str">
        <f t="shared" si="74"/>
        <v/>
      </c>
    </row>
    <row r="467" spans="1:18">
      <c r="A467" s="58" t="str">
        <f t="shared" si="75"/>
        <v/>
      </c>
      <c r="B467" s="58"/>
      <c r="C467" s="57"/>
      <c r="D467" s="58"/>
      <c r="E467" s="58"/>
      <c r="F467" s="58"/>
      <c r="G467" s="58"/>
      <c r="H467" s="58"/>
      <c r="I467" s="58"/>
      <c r="J467" s="58" t="str">
        <f t="shared" si="71"/>
        <v/>
      </c>
      <c r="K467" s="58" t="str">
        <f t="shared" si="72"/>
        <v/>
      </c>
      <c r="L467" s="59" t="str">
        <f>IF(C467="","",DATEDIF(C467,'Premium Table'!$B$6,"Y"))</f>
        <v/>
      </c>
      <c r="M467" s="59" t="str">
        <f t="shared" si="76"/>
        <v/>
      </c>
      <c r="N467" s="59" t="str">
        <f t="shared" si="73"/>
        <v/>
      </c>
      <c r="O467" s="102" t="str">
        <f t="shared" si="77"/>
        <v/>
      </c>
      <c r="P467" s="102" t="str">
        <f t="shared" si="78"/>
        <v/>
      </c>
      <c r="Q467" s="68">
        <f t="shared" si="79"/>
        <v>0</v>
      </c>
      <c r="R467" s="102" t="str">
        <f t="shared" si="74"/>
        <v/>
      </c>
    </row>
    <row r="468" spans="1:18">
      <c r="A468" s="58" t="str">
        <f t="shared" si="75"/>
        <v/>
      </c>
      <c r="B468" s="58"/>
      <c r="C468" s="57"/>
      <c r="D468" s="58"/>
      <c r="E468" s="58"/>
      <c r="F468" s="58"/>
      <c r="G468" s="58"/>
      <c r="H468" s="58"/>
      <c r="I468" s="58"/>
      <c r="J468" s="58" t="str">
        <f t="shared" si="71"/>
        <v/>
      </c>
      <c r="K468" s="58" t="str">
        <f t="shared" si="72"/>
        <v/>
      </c>
      <c r="L468" s="59" t="str">
        <f>IF(C468="","",DATEDIF(C468,'Premium Table'!$B$6,"Y"))</f>
        <v/>
      </c>
      <c r="M468" s="59" t="str">
        <f t="shared" si="76"/>
        <v/>
      </c>
      <c r="N468" s="59" t="str">
        <f t="shared" si="73"/>
        <v/>
      </c>
      <c r="O468" s="102" t="str">
        <f t="shared" si="77"/>
        <v/>
      </c>
      <c r="P468" s="102" t="str">
        <f t="shared" si="78"/>
        <v/>
      </c>
      <c r="Q468" s="68">
        <f t="shared" si="79"/>
        <v>0</v>
      </c>
      <c r="R468" s="102" t="str">
        <f t="shared" si="74"/>
        <v/>
      </c>
    </row>
    <row r="469" spans="1:18">
      <c r="A469" s="58" t="str">
        <f t="shared" si="75"/>
        <v/>
      </c>
      <c r="B469" s="58"/>
      <c r="C469" s="57"/>
      <c r="D469" s="58"/>
      <c r="E469" s="58"/>
      <c r="F469" s="58"/>
      <c r="G469" s="58"/>
      <c r="H469" s="58"/>
      <c r="I469" s="58"/>
      <c r="J469" s="58" t="str">
        <f t="shared" si="71"/>
        <v/>
      </c>
      <c r="K469" s="58" t="str">
        <f t="shared" si="72"/>
        <v/>
      </c>
      <c r="L469" s="59" t="str">
        <f>IF(C469="","",DATEDIF(C469,'Premium Table'!$B$6,"Y"))</f>
        <v/>
      </c>
      <c r="M469" s="59" t="str">
        <f t="shared" si="76"/>
        <v/>
      </c>
      <c r="N469" s="59" t="str">
        <f t="shared" si="73"/>
        <v/>
      </c>
      <c r="O469" s="102" t="str">
        <f t="shared" si="77"/>
        <v/>
      </c>
      <c r="P469" s="102" t="str">
        <f t="shared" si="78"/>
        <v/>
      </c>
      <c r="Q469" s="68">
        <f t="shared" si="79"/>
        <v>0</v>
      </c>
      <c r="R469" s="102" t="str">
        <f t="shared" si="74"/>
        <v/>
      </c>
    </row>
    <row r="470" spans="1:18">
      <c r="A470" s="58" t="str">
        <f t="shared" si="75"/>
        <v/>
      </c>
      <c r="B470" s="58"/>
      <c r="C470" s="57"/>
      <c r="D470" s="58"/>
      <c r="E470" s="58"/>
      <c r="F470" s="58"/>
      <c r="G470" s="58"/>
      <c r="H470" s="58"/>
      <c r="I470" s="58"/>
      <c r="J470" s="58" t="str">
        <f t="shared" si="71"/>
        <v/>
      </c>
      <c r="K470" s="58" t="str">
        <f t="shared" si="72"/>
        <v/>
      </c>
      <c r="L470" s="59" t="str">
        <f>IF(C470="","",DATEDIF(C470,'Premium Table'!$B$6,"Y"))</f>
        <v/>
      </c>
      <c r="M470" s="59" t="str">
        <f t="shared" si="76"/>
        <v/>
      </c>
      <c r="N470" s="59" t="str">
        <f t="shared" si="73"/>
        <v/>
      </c>
      <c r="O470" s="102" t="str">
        <f t="shared" si="77"/>
        <v/>
      </c>
      <c r="P470" s="102" t="str">
        <f t="shared" si="78"/>
        <v/>
      </c>
      <c r="Q470" s="68">
        <f t="shared" si="79"/>
        <v>0</v>
      </c>
      <c r="R470" s="102" t="str">
        <f t="shared" si="74"/>
        <v/>
      </c>
    </row>
    <row r="471" spans="1:18">
      <c r="A471" s="58" t="str">
        <f t="shared" si="75"/>
        <v/>
      </c>
      <c r="B471" s="58"/>
      <c r="C471" s="57"/>
      <c r="D471" s="58"/>
      <c r="E471" s="58"/>
      <c r="F471" s="58"/>
      <c r="G471" s="58"/>
      <c r="H471" s="58"/>
      <c r="I471" s="58"/>
      <c r="J471" s="58" t="str">
        <f t="shared" si="71"/>
        <v/>
      </c>
      <c r="K471" s="58" t="str">
        <f t="shared" si="72"/>
        <v/>
      </c>
      <c r="L471" s="59" t="str">
        <f>IF(C471="","",DATEDIF(C471,'Premium Table'!$B$6,"Y"))</f>
        <v/>
      </c>
      <c r="M471" s="59" t="str">
        <f t="shared" si="76"/>
        <v/>
      </c>
      <c r="N471" s="59" t="str">
        <f t="shared" si="73"/>
        <v/>
      </c>
      <c r="O471" s="102" t="str">
        <f t="shared" si="77"/>
        <v/>
      </c>
      <c r="P471" s="102" t="str">
        <f t="shared" si="78"/>
        <v/>
      </c>
      <c r="Q471" s="68">
        <f t="shared" si="79"/>
        <v>0</v>
      </c>
      <c r="R471" s="102" t="str">
        <f t="shared" si="74"/>
        <v/>
      </c>
    </row>
    <row r="472" spans="1:18">
      <c r="A472" s="58" t="str">
        <f t="shared" si="75"/>
        <v/>
      </c>
      <c r="B472" s="58"/>
      <c r="C472" s="57"/>
      <c r="D472" s="58"/>
      <c r="E472" s="58"/>
      <c r="F472" s="58"/>
      <c r="G472" s="58"/>
      <c r="H472" s="58"/>
      <c r="I472" s="58"/>
      <c r="J472" s="58" t="str">
        <f t="shared" si="71"/>
        <v/>
      </c>
      <c r="K472" s="58" t="str">
        <f t="shared" si="72"/>
        <v/>
      </c>
      <c r="L472" s="59" t="str">
        <f>IF(C472="","",DATEDIF(C472,'Premium Table'!$B$6,"Y"))</f>
        <v/>
      </c>
      <c r="M472" s="59" t="str">
        <f t="shared" si="76"/>
        <v/>
      </c>
      <c r="N472" s="59" t="str">
        <f t="shared" si="73"/>
        <v/>
      </c>
      <c r="O472" s="102" t="str">
        <f t="shared" si="77"/>
        <v/>
      </c>
      <c r="P472" s="102" t="str">
        <f t="shared" si="78"/>
        <v/>
      </c>
      <c r="Q472" s="68">
        <f t="shared" si="79"/>
        <v>0</v>
      </c>
      <c r="R472" s="102" t="str">
        <f t="shared" si="74"/>
        <v/>
      </c>
    </row>
    <row r="473" spans="1:18">
      <c r="A473" s="58" t="str">
        <f t="shared" si="75"/>
        <v/>
      </c>
      <c r="B473" s="58"/>
      <c r="C473" s="57"/>
      <c r="D473" s="58"/>
      <c r="E473" s="58"/>
      <c r="F473" s="58"/>
      <c r="G473" s="58"/>
      <c r="H473" s="58"/>
      <c r="I473" s="58"/>
      <c r="J473" s="58" t="str">
        <f t="shared" si="71"/>
        <v/>
      </c>
      <c r="K473" s="58" t="str">
        <f t="shared" si="72"/>
        <v/>
      </c>
      <c r="L473" s="59" t="str">
        <f>IF(C473="","",DATEDIF(C473,'Premium Table'!$B$6,"Y"))</f>
        <v/>
      </c>
      <c r="M473" s="59" t="str">
        <f t="shared" si="76"/>
        <v/>
      </c>
      <c r="N473" s="59" t="str">
        <f t="shared" si="73"/>
        <v/>
      </c>
      <c r="O473" s="102" t="str">
        <f t="shared" si="77"/>
        <v/>
      </c>
      <c r="P473" s="102" t="str">
        <f t="shared" si="78"/>
        <v/>
      </c>
      <c r="Q473" s="68">
        <f t="shared" si="79"/>
        <v>0</v>
      </c>
      <c r="R473" s="102" t="str">
        <f t="shared" si="74"/>
        <v/>
      </c>
    </row>
    <row r="474" spans="1:18">
      <c r="A474" s="58" t="str">
        <f t="shared" si="75"/>
        <v/>
      </c>
      <c r="B474" s="58"/>
      <c r="C474" s="57"/>
      <c r="D474" s="58"/>
      <c r="E474" s="58"/>
      <c r="F474" s="58"/>
      <c r="G474" s="58"/>
      <c r="H474" s="58"/>
      <c r="I474" s="58"/>
      <c r="J474" s="58" t="str">
        <f t="shared" si="71"/>
        <v/>
      </c>
      <c r="K474" s="58" t="str">
        <f t="shared" si="72"/>
        <v/>
      </c>
      <c r="L474" s="59" t="str">
        <f>IF(C474="","",DATEDIF(C474,'Premium Table'!$B$6,"Y"))</f>
        <v/>
      </c>
      <c r="M474" s="59" t="str">
        <f t="shared" si="76"/>
        <v/>
      </c>
      <c r="N474" s="59" t="str">
        <f t="shared" si="73"/>
        <v/>
      </c>
      <c r="O474" s="102" t="str">
        <f t="shared" si="77"/>
        <v/>
      </c>
      <c r="P474" s="102" t="str">
        <f t="shared" si="78"/>
        <v/>
      </c>
      <c r="Q474" s="68">
        <f t="shared" si="79"/>
        <v>0</v>
      </c>
      <c r="R474" s="102" t="str">
        <f t="shared" si="74"/>
        <v/>
      </c>
    </row>
    <row r="475" spans="1:18">
      <c r="A475" s="58" t="str">
        <f t="shared" si="75"/>
        <v/>
      </c>
      <c r="B475" s="58"/>
      <c r="C475" s="57"/>
      <c r="D475" s="58"/>
      <c r="E475" s="58"/>
      <c r="F475" s="58"/>
      <c r="G475" s="58"/>
      <c r="H475" s="58"/>
      <c r="I475" s="58"/>
      <c r="J475" s="58" t="str">
        <f t="shared" si="71"/>
        <v/>
      </c>
      <c r="K475" s="58" t="str">
        <f t="shared" si="72"/>
        <v/>
      </c>
      <c r="L475" s="59" t="str">
        <f>IF(C475="","",DATEDIF(C475,'Premium Table'!$B$6,"Y"))</f>
        <v/>
      </c>
      <c r="M475" s="59" t="str">
        <f t="shared" si="76"/>
        <v/>
      </c>
      <c r="N475" s="59" t="str">
        <f t="shared" si="73"/>
        <v/>
      </c>
      <c r="O475" s="102" t="str">
        <f t="shared" si="77"/>
        <v/>
      </c>
      <c r="P475" s="102" t="str">
        <f t="shared" si="78"/>
        <v/>
      </c>
      <c r="Q475" s="68">
        <f t="shared" si="79"/>
        <v>0</v>
      </c>
      <c r="R475" s="102" t="str">
        <f t="shared" si="74"/>
        <v/>
      </c>
    </row>
    <row r="476" spans="1:18">
      <c r="A476" s="58" t="str">
        <f t="shared" si="75"/>
        <v/>
      </c>
      <c r="B476" s="58"/>
      <c r="C476" s="57"/>
      <c r="D476" s="58"/>
      <c r="E476" s="58"/>
      <c r="F476" s="58"/>
      <c r="G476" s="58"/>
      <c r="H476" s="58"/>
      <c r="I476" s="58"/>
      <c r="J476" s="58" t="str">
        <f t="shared" si="71"/>
        <v/>
      </c>
      <c r="K476" s="58" t="str">
        <f t="shared" si="72"/>
        <v/>
      </c>
      <c r="L476" s="59" t="str">
        <f>IF(C476="","",DATEDIF(C476,'Premium Table'!$B$6,"Y"))</f>
        <v/>
      </c>
      <c r="M476" s="59" t="str">
        <f t="shared" si="76"/>
        <v/>
      </c>
      <c r="N476" s="59" t="str">
        <f t="shared" si="73"/>
        <v/>
      </c>
      <c r="O476" s="102" t="str">
        <f t="shared" si="77"/>
        <v/>
      </c>
      <c r="P476" s="102" t="str">
        <f t="shared" si="78"/>
        <v/>
      </c>
      <c r="Q476" s="68">
        <f t="shared" si="79"/>
        <v>0</v>
      </c>
      <c r="R476" s="102" t="str">
        <f t="shared" si="74"/>
        <v/>
      </c>
    </row>
    <row r="477" spans="1:18">
      <c r="A477" s="58" t="str">
        <f t="shared" si="75"/>
        <v/>
      </c>
      <c r="B477" s="58"/>
      <c r="C477" s="57"/>
      <c r="D477" s="58"/>
      <c r="E477" s="58"/>
      <c r="F477" s="58"/>
      <c r="G477" s="58"/>
      <c r="H477" s="58"/>
      <c r="I477" s="58"/>
      <c r="J477" s="58" t="str">
        <f t="shared" si="71"/>
        <v/>
      </c>
      <c r="K477" s="58" t="str">
        <f t="shared" si="72"/>
        <v/>
      </c>
      <c r="L477" s="59" t="str">
        <f>IF(C477="","",DATEDIF(C477,'Premium Table'!$B$6,"Y"))</f>
        <v/>
      </c>
      <c r="M477" s="59" t="str">
        <f t="shared" si="76"/>
        <v/>
      </c>
      <c r="N477" s="59" t="str">
        <f t="shared" si="73"/>
        <v/>
      </c>
      <c r="O477" s="102" t="str">
        <f t="shared" si="77"/>
        <v/>
      </c>
      <c r="P477" s="102" t="str">
        <f t="shared" si="78"/>
        <v/>
      </c>
      <c r="Q477" s="68">
        <f t="shared" si="79"/>
        <v>0</v>
      </c>
      <c r="R477" s="102" t="str">
        <f t="shared" si="74"/>
        <v/>
      </c>
    </row>
    <row r="478" spans="1:18">
      <c r="A478" s="58" t="str">
        <f t="shared" si="75"/>
        <v/>
      </c>
      <c r="B478" s="58"/>
      <c r="C478" s="57"/>
      <c r="D478" s="58"/>
      <c r="E478" s="58"/>
      <c r="F478" s="58"/>
      <c r="G478" s="58"/>
      <c r="H478" s="58"/>
      <c r="I478" s="58"/>
      <c r="J478" s="58" t="str">
        <f t="shared" si="71"/>
        <v/>
      </c>
      <c r="K478" s="58" t="str">
        <f t="shared" si="72"/>
        <v/>
      </c>
      <c r="L478" s="59" t="str">
        <f>IF(C478="","",DATEDIF(C478,'Premium Table'!$B$6,"Y"))</f>
        <v/>
      </c>
      <c r="M478" s="59" t="str">
        <f t="shared" si="76"/>
        <v/>
      </c>
      <c r="N478" s="59" t="str">
        <f t="shared" si="73"/>
        <v/>
      </c>
      <c r="O478" s="102" t="str">
        <f t="shared" si="77"/>
        <v/>
      </c>
      <c r="P478" s="102" t="str">
        <f t="shared" si="78"/>
        <v/>
      </c>
      <c r="Q478" s="68">
        <f t="shared" si="79"/>
        <v>0</v>
      </c>
      <c r="R478" s="102" t="str">
        <f t="shared" si="74"/>
        <v/>
      </c>
    </row>
    <row r="479" spans="1:18">
      <c r="A479" s="58" t="str">
        <f t="shared" si="75"/>
        <v/>
      </c>
      <c r="B479" s="58"/>
      <c r="C479" s="57"/>
      <c r="D479" s="58"/>
      <c r="E479" s="58"/>
      <c r="F479" s="58"/>
      <c r="G479" s="58"/>
      <c r="H479" s="58"/>
      <c r="I479" s="58"/>
      <c r="J479" s="58" t="str">
        <f t="shared" si="71"/>
        <v/>
      </c>
      <c r="K479" s="58" t="str">
        <f t="shared" si="72"/>
        <v/>
      </c>
      <c r="L479" s="59" t="str">
        <f>IF(C479="","",DATEDIF(C479,'Premium Table'!$B$6,"Y"))</f>
        <v/>
      </c>
      <c r="M479" s="59" t="str">
        <f t="shared" si="76"/>
        <v/>
      </c>
      <c r="N479" s="59" t="str">
        <f t="shared" si="73"/>
        <v/>
      </c>
      <c r="O479" s="102" t="str">
        <f t="shared" si="77"/>
        <v/>
      </c>
      <c r="P479" s="102" t="str">
        <f t="shared" si="78"/>
        <v/>
      </c>
      <c r="Q479" s="68">
        <f t="shared" si="79"/>
        <v>0</v>
      </c>
      <c r="R479" s="102" t="str">
        <f t="shared" si="74"/>
        <v/>
      </c>
    </row>
    <row r="480" spans="1:18">
      <c r="A480" s="58" t="str">
        <f t="shared" si="75"/>
        <v/>
      </c>
      <c r="B480" s="58"/>
      <c r="C480" s="57"/>
      <c r="D480" s="58"/>
      <c r="E480" s="58"/>
      <c r="F480" s="58"/>
      <c r="G480" s="58"/>
      <c r="H480" s="58"/>
      <c r="I480" s="58"/>
      <c r="J480" s="58" t="str">
        <f t="shared" si="71"/>
        <v/>
      </c>
      <c r="K480" s="58" t="str">
        <f t="shared" si="72"/>
        <v/>
      </c>
      <c r="L480" s="59" t="str">
        <f>IF(C480="","",DATEDIF(C480,'Premium Table'!$B$6,"Y"))</f>
        <v/>
      </c>
      <c r="M480" s="59" t="str">
        <f t="shared" si="76"/>
        <v/>
      </c>
      <c r="N480" s="59" t="str">
        <f t="shared" si="73"/>
        <v/>
      </c>
      <c r="O480" s="102" t="str">
        <f t="shared" si="77"/>
        <v/>
      </c>
      <c r="P480" s="102" t="str">
        <f t="shared" si="78"/>
        <v/>
      </c>
      <c r="Q480" s="68">
        <f t="shared" si="79"/>
        <v>0</v>
      </c>
      <c r="R480" s="102" t="str">
        <f t="shared" si="74"/>
        <v/>
      </c>
    </row>
    <row r="481" spans="1:18">
      <c r="A481" s="58" t="str">
        <f t="shared" si="75"/>
        <v/>
      </c>
      <c r="B481" s="58"/>
      <c r="C481" s="57"/>
      <c r="D481" s="58"/>
      <c r="E481" s="58"/>
      <c r="F481" s="58"/>
      <c r="G481" s="58"/>
      <c r="H481" s="58"/>
      <c r="I481" s="58"/>
      <c r="J481" s="58" t="str">
        <f t="shared" si="71"/>
        <v/>
      </c>
      <c r="K481" s="58" t="str">
        <f t="shared" si="72"/>
        <v/>
      </c>
      <c r="L481" s="59" t="str">
        <f>IF(C481="","",DATEDIF(C481,'Premium Table'!$B$6,"Y"))</f>
        <v/>
      </c>
      <c r="M481" s="59" t="str">
        <f t="shared" si="76"/>
        <v/>
      </c>
      <c r="N481" s="59" t="str">
        <f t="shared" si="73"/>
        <v/>
      </c>
      <c r="O481" s="102" t="str">
        <f t="shared" si="77"/>
        <v/>
      </c>
      <c r="P481" s="102" t="str">
        <f t="shared" si="78"/>
        <v/>
      </c>
      <c r="Q481" s="68">
        <f t="shared" si="79"/>
        <v>0</v>
      </c>
      <c r="R481" s="102" t="str">
        <f t="shared" si="74"/>
        <v/>
      </c>
    </row>
    <row r="482" spans="1:18">
      <c r="A482" s="58" t="str">
        <f t="shared" si="75"/>
        <v/>
      </c>
      <c r="B482" s="58"/>
      <c r="C482" s="57"/>
      <c r="D482" s="58"/>
      <c r="E482" s="58"/>
      <c r="F482" s="58"/>
      <c r="G482" s="58"/>
      <c r="H482" s="58"/>
      <c r="I482" s="58"/>
      <c r="J482" s="58" t="str">
        <f t="shared" si="71"/>
        <v/>
      </c>
      <c r="K482" s="58" t="str">
        <f t="shared" si="72"/>
        <v/>
      </c>
      <c r="L482" s="59" t="str">
        <f>IF(C482="","",DATEDIF(C482,'Premium Table'!$B$6,"Y"))</f>
        <v/>
      </c>
      <c r="M482" s="59" t="str">
        <f t="shared" si="76"/>
        <v/>
      </c>
      <c r="N482" s="59" t="str">
        <f t="shared" si="73"/>
        <v/>
      </c>
      <c r="O482" s="102" t="str">
        <f t="shared" si="77"/>
        <v/>
      </c>
      <c r="P482" s="102" t="str">
        <f t="shared" si="78"/>
        <v/>
      </c>
      <c r="Q482" s="68">
        <f t="shared" si="79"/>
        <v>0</v>
      </c>
      <c r="R482" s="102" t="str">
        <f t="shared" si="74"/>
        <v/>
      </c>
    </row>
    <row r="483" spans="1:18">
      <c r="A483" s="58" t="str">
        <f t="shared" si="75"/>
        <v/>
      </c>
      <c r="B483" s="58"/>
      <c r="C483" s="57"/>
      <c r="D483" s="58"/>
      <c r="E483" s="58"/>
      <c r="F483" s="58"/>
      <c r="G483" s="58"/>
      <c r="H483" s="58"/>
      <c r="I483" s="58"/>
      <c r="J483" s="58" t="str">
        <f t="shared" si="71"/>
        <v/>
      </c>
      <c r="K483" s="58" t="str">
        <f t="shared" si="72"/>
        <v/>
      </c>
      <c r="L483" s="59" t="str">
        <f>IF(C483="","",DATEDIF(C483,'Premium Table'!$B$6,"Y"))</f>
        <v/>
      </c>
      <c r="M483" s="59" t="str">
        <f t="shared" si="76"/>
        <v/>
      </c>
      <c r="N483" s="59" t="str">
        <f t="shared" si="73"/>
        <v/>
      </c>
      <c r="O483" s="102" t="str">
        <f t="shared" si="77"/>
        <v/>
      </c>
      <c r="P483" s="102" t="str">
        <f t="shared" si="78"/>
        <v/>
      </c>
      <c r="Q483" s="68">
        <f t="shared" si="79"/>
        <v>0</v>
      </c>
      <c r="R483" s="102" t="str">
        <f t="shared" si="74"/>
        <v/>
      </c>
    </row>
    <row r="484" spans="1:18">
      <c r="A484" s="58" t="str">
        <f t="shared" si="75"/>
        <v/>
      </c>
      <c r="B484" s="58"/>
      <c r="C484" s="57"/>
      <c r="D484" s="58"/>
      <c r="E484" s="58"/>
      <c r="F484" s="58"/>
      <c r="G484" s="58"/>
      <c r="H484" s="58"/>
      <c r="I484" s="58"/>
      <c r="J484" s="58" t="str">
        <f t="shared" si="71"/>
        <v/>
      </c>
      <c r="K484" s="58" t="str">
        <f t="shared" si="72"/>
        <v/>
      </c>
      <c r="L484" s="59" t="str">
        <f>IF(C484="","",DATEDIF(C484,'Premium Table'!$B$6,"Y"))</f>
        <v/>
      </c>
      <c r="M484" s="59" t="str">
        <f t="shared" si="76"/>
        <v/>
      </c>
      <c r="N484" s="59" t="str">
        <f t="shared" si="73"/>
        <v/>
      </c>
      <c r="O484" s="102" t="str">
        <f t="shared" si="77"/>
        <v/>
      </c>
      <c r="P484" s="102" t="str">
        <f t="shared" si="78"/>
        <v/>
      </c>
      <c r="Q484" s="68">
        <f t="shared" si="79"/>
        <v>0</v>
      </c>
      <c r="R484" s="102" t="str">
        <f t="shared" si="74"/>
        <v/>
      </c>
    </row>
    <row r="485" spans="1:18">
      <c r="A485" s="58" t="str">
        <f t="shared" si="75"/>
        <v/>
      </c>
      <c r="B485" s="58"/>
      <c r="C485" s="57"/>
      <c r="D485" s="58"/>
      <c r="E485" s="58"/>
      <c r="F485" s="58"/>
      <c r="G485" s="58"/>
      <c r="H485" s="58"/>
      <c r="I485" s="58"/>
      <c r="J485" s="58" t="str">
        <f t="shared" si="71"/>
        <v/>
      </c>
      <c r="K485" s="58" t="str">
        <f t="shared" si="72"/>
        <v/>
      </c>
      <c r="L485" s="59" t="str">
        <f>IF(C485="","",DATEDIF(C485,'Premium Table'!$B$6,"Y"))</f>
        <v/>
      </c>
      <c r="M485" s="59" t="str">
        <f t="shared" si="76"/>
        <v/>
      </c>
      <c r="N485" s="59" t="str">
        <f t="shared" si="73"/>
        <v/>
      </c>
      <c r="O485" s="102" t="str">
        <f t="shared" si="77"/>
        <v/>
      </c>
      <c r="P485" s="102" t="str">
        <f t="shared" si="78"/>
        <v/>
      </c>
      <c r="Q485" s="68">
        <f t="shared" si="79"/>
        <v>0</v>
      </c>
      <c r="R485" s="102" t="str">
        <f t="shared" si="74"/>
        <v/>
      </c>
    </row>
    <row r="486" spans="1:18">
      <c r="A486" s="58" t="str">
        <f t="shared" si="75"/>
        <v/>
      </c>
      <c r="B486" s="58"/>
      <c r="C486" s="57"/>
      <c r="D486" s="58"/>
      <c r="E486" s="58"/>
      <c r="F486" s="58"/>
      <c r="G486" s="58"/>
      <c r="H486" s="58"/>
      <c r="I486" s="58"/>
      <c r="J486" s="58" t="str">
        <f t="shared" si="71"/>
        <v/>
      </c>
      <c r="K486" s="58" t="str">
        <f t="shared" si="72"/>
        <v/>
      </c>
      <c r="L486" s="59" t="str">
        <f>IF(C486="","",DATEDIF(C486,'Premium Table'!$B$6,"Y"))</f>
        <v/>
      </c>
      <c r="M486" s="59" t="str">
        <f t="shared" si="76"/>
        <v/>
      </c>
      <c r="N486" s="59" t="str">
        <f t="shared" si="73"/>
        <v/>
      </c>
      <c r="O486" s="102" t="str">
        <f t="shared" si="77"/>
        <v/>
      </c>
      <c r="P486" s="102" t="str">
        <f t="shared" si="78"/>
        <v/>
      </c>
      <c r="Q486" s="68">
        <f t="shared" si="79"/>
        <v>0</v>
      </c>
      <c r="R486" s="102" t="str">
        <f t="shared" si="74"/>
        <v/>
      </c>
    </row>
    <row r="487" spans="1:18">
      <c r="A487" s="58" t="str">
        <f t="shared" si="75"/>
        <v/>
      </c>
      <c r="B487" s="58"/>
      <c r="C487" s="57"/>
      <c r="D487" s="58"/>
      <c r="E487" s="58"/>
      <c r="F487" s="58"/>
      <c r="G487" s="58"/>
      <c r="H487" s="58"/>
      <c r="I487" s="58"/>
      <c r="J487" s="58" t="str">
        <f t="shared" si="71"/>
        <v/>
      </c>
      <c r="K487" s="58" t="str">
        <f t="shared" si="72"/>
        <v/>
      </c>
      <c r="L487" s="59" t="str">
        <f>IF(C487="","",DATEDIF(C487,'Premium Table'!$B$6,"Y"))</f>
        <v/>
      </c>
      <c r="M487" s="59" t="str">
        <f t="shared" si="76"/>
        <v/>
      </c>
      <c r="N487" s="59" t="str">
        <f t="shared" si="73"/>
        <v/>
      </c>
      <c r="O487" s="102" t="str">
        <f t="shared" si="77"/>
        <v/>
      </c>
      <c r="P487" s="102" t="str">
        <f t="shared" si="78"/>
        <v/>
      </c>
      <c r="Q487" s="68">
        <f t="shared" si="79"/>
        <v>0</v>
      </c>
      <c r="R487" s="102" t="str">
        <f t="shared" si="74"/>
        <v/>
      </c>
    </row>
    <row r="488" spans="1:18">
      <c r="A488" s="58" t="str">
        <f t="shared" si="75"/>
        <v/>
      </c>
      <c r="B488" s="58"/>
      <c r="C488" s="57"/>
      <c r="D488" s="58"/>
      <c r="E488" s="58"/>
      <c r="F488" s="58"/>
      <c r="G488" s="58"/>
      <c r="H488" s="58"/>
      <c r="I488" s="58"/>
      <c r="J488" s="58" t="str">
        <f t="shared" si="71"/>
        <v/>
      </c>
      <c r="K488" s="58" t="str">
        <f t="shared" si="72"/>
        <v/>
      </c>
      <c r="L488" s="59" t="str">
        <f>IF(C488="","",DATEDIF(C488,'Premium Table'!$B$6,"Y"))</f>
        <v/>
      </c>
      <c r="M488" s="59" t="str">
        <f t="shared" si="76"/>
        <v/>
      </c>
      <c r="N488" s="59" t="str">
        <f t="shared" si="73"/>
        <v/>
      </c>
      <c r="O488" s="102" t="str">
        <f t="shared" si="77"/>
        <v/>
      </c>
      <c r="P488" s="102" t="str">
        <f t="shared" si="78"/>
        <v/>
      </c>
      <c r="Q488" s="68">
        <f t="shared" si="79"/>
        <v>0</v>
      </c>
      <c r="R488" s="102" t="str">
        <f t="shared" si="74"/>
        <v/>
      </c>
    </row>
    <row r="489" spans="1:18">
      <c r="A489" s="58" t="str">
        <f t="shared" si="75"/>
        <v/>
      </c>
      <c r="B489" s="58"/>
      <c r="C489" s="57"/>
      <c r="D489" s="58"/>
      <c r="E489" s="58"/>
      <c r="F489" s="58"/>
      <c r="G489" s="58"/>
      <c r="H489" s="58"/>
      <c r="I489" s="58"/>
      <c r="J489" s="58" t="str">
        <f t="shared" si="71"/>
        <v/>
      </c>
      <c r="K489" s="58" t="str">
        <f t="shared" si="72"/>
        <v/>
      </c>
      <c r="L489" s="59" t="str">
        <f>IF(C489="","",DATEDIF(C489,'Premium Table'!$B$6,"Y"))</f>
        <v/>
      </c>
      <c r="M489" s="59" t="str">
        <f t="shared" si="76"/>
        <v/>
      </c>
      <c r="N489" s="59" t="str">
        <f t="shared" si="73"/>
        <v/>
      </c>
      <c r="O489" s="102" t="str">
        <f t="shared" si="77"/>
        <v/>
      </c>
      <c r="P489" s="102" t="str">
        <f t="shared" si="78"/>
        <v/>
      </c>
      <c r="Q489" s="68">
        <f t="shared" si="79"/>
        <v>0</v>
      </c>
      <c r="R489" s="102" t="str">
        <f t="shared" si="74"/>
        <v/>
      </c>
    </row>
    <row r="490" spans="1:18">
      <c r="A490" s="58" t="str">
        <f t="shared" si="75"/>
        <v/>
      </c>
      <c r="B490" s="58"/>
      <c r="C490" s="57"/>
      <c r="D490" s="58"/>
      <c r="E490" s="58"/>
      <c r="F490" s="58"/>
      <c r="G490" s="58"/>
      <c r="H490" s="58"/>
      <c r="I490" s="58"/>
      <c r="J490" s="58" t="str">
        <f t="shared" si="71"/>
        <v/>
      </c>
      <c r="K490" s="58" t="str">
        <f t="shared" si="72"/>
        <v/>
      </c>
      <c r="L490" s="59" t="str">
        <f>IF(C490="","",DATEDIF(C490,'Premium Table'!$B$6,"Y"))</f>
        <v/>
      </c>
      <c r="M490" s="59" t="str">
        <f t="shared" si="76"/>
        <v/>
      </c>
      <c r="N490" s="59" t="str">
        <f t="shared" si="73"/>
        <v/>
      </c>
      <c r="O490" s="102" t="str">
        <f t="shared" si="77"/>
        <v/>
      </c>
      <c r="P490" s="102" t="str">
        <f t="shared" si="78"/>
        <v/>
      </c>
      <c r="Q490" s="68">
        <f t="shared" si="79"/>
        <v>0</v>
      </c>
      <c r="R490" s="102" t="str">
        <f t="shared" si="74"/>
        <v/>
      </c>
    </row>
    <row r="491" spans="1:18">
      <c r="A491" s="58" t="str">
        <f t="shared" si="75"/>
        <v/>
      </c>
      <c r="B491" s="58"/>
      <c r="C491" s="57"/>
      <c r="D491" s="58"/>
      <c r="E491" s="58"/>
      <c r="F491" s="58"/>
      <c r="G491" s="58"/>
      <c r="H491" s="58"/>
      <c r="I491" s="58"/>
      <c r="J491" s="58" t="str">
        <f t="shared" si="71"/>
        <v/>
      </c>
      <c r="K491" s="58" t="str">
        <f t="shared" si="72"/>
        <v/>
      </c>
      <c r="L491" s="59" t="str">
        <f>IF(C491="","",DATEDIF(C491,'Premium Table'!$B$6,"Y"))</f>
        <v/>
      </c>
      <c r="M491" s="59" t="str">
        <f t="shared" si="76"/>
        <v/>
      </c>
      <c r="N491" s="59" t="str">
        <f t="shared" si="73"/>
        <v/>
      </c>
      <c r="O491" s="102" t="str">
        <f t="shared" si="77"/>
        <v/>
      </c>
      <c r="P491" s="102" t="str">
        <f t="shared" si="78"/>
        <v/>
      </c>
      <c r="Q491" s="68">
        <f t="shared" si="79"/>
        <v>0</v>
      </c>
      <c r="R491" s="102" t="str">
        <f t="shared" si="74"/>
        <v/>
      </c>
    </row>
    <row r="492" spans="1:18">
      <c r="A492" s="58" t="str">
        <f t="shared" si="75"/>
        <v/>
      </c>
      <c r="B492" s="58"/>
      <c r="C492" s="57"/>
      <c r="D492" s="58"/>
      <c r="E492" s="58"/>
      <c r="F492" s="58"/>
      <c r="G492" s="58"/>
      <c r="H492" s="58"/>
      <c r="I492" s="58"/>
      <c r="J492" s="58" t="str">
        <f t="shared" si="71"/>
        <v/>
      </c>
      <c r="K492" s="58" t="str">
        <f t="shared" si="72"/>
        <v/>
      </c>
      <c r="L492" s="59" t="str">
        <f>IF(C492="","",DATEDIF(C492,'Premium Table'!$B$6,"Y"))</f>
        <v/>
      </c>
      <c r="M492" s="59" t="str">
        <f t="shared" si="76"/>
        <v/>
      </c>
      <c r="N492" s="59" t="str">
        <f t="shared" si="73"/>
        <v/>
      </c>
      <c r="O492" s="102" t="str">
        <f t="shared" si="77"/>
        <v/>
      </c>
      <c r="P492" s="102" t="str">
        <f t="shared" si="78"/>
        <v/>
      </c>
      <c r="Q492" s="68">
        <f t="shared" si="79"/>
        <v>0</v>
      </c>
      <c r="R492" s="102" t="str">
        <f t="shared" si="74"/>
        <v/>
      </c>
    </row>
    <row r="493" spans="1:18">
      <c r="A493" s="58" t="str">
        <f t="shared" si="75"/>
        <v/>
      </c>
      <c r="B493" s="58"/>
      <c r="C493" s="57"/>
      <c r="D493" s="58"/>
      <c r="E493" s="58"/>
      <c r="F493" s="58"/>
      <c r="G493" s="58"/>
      <c r="H493" s="58"/>
      <c r="I493" s="58"/>
      <c r="J493" s="58" t="str">
        <f t="shared" si="71"/>
        <v/>
      </c>
      <c r="K493" s="58" t="str">
        <f t="shared" si="72"/>
        <v/>
      </c>
      <c r="L493" s="59" t="str">
        <f>IF(C493="","",DATEDIF(C493,'Premium Table'!$B$6,"Y"))</f>
        <v/>
      </c>
      <c r="M493" s="59" t="str">
        <f t="shared" si="76"/>
        <v/>
      </c>
      <c r="N493" s="59" t="str">
        <f t="shared" si="73"/>
        <v/>
      </c>
      <c r="O493" s="102" t="str">
        <f t="shared" si="77"/>
        <v/>
      </c>
      <c r="P493" s="102" t="str">
        <f t="shared" si="78"/>
        <v/>
      </c>
      <c r="Q493" s="68">
        <f t="shared" si="79"/>
        <v>0</v>
      </c>
      <c r="R493" s="102" t="str">
        <f t="shared" si="74"/>
        <v/>
      </c>
    </row>
    <row r="494" spans="1:18">
      <c r="A494" s="58" t="str">
        <f t="shared" si="75"/>
        <v/>
      </c>
      <c r="B494" s="58"/>
      <c r="C494" s="57"/>
      <c r="D494" s="58"/>
      <c r="E494" s="58"/>
      <c r="F494" s="58"/>
      <c r="G494" s="58"/>
      <c r="H494" s="58"/>
      <c r="I494" s="58"/>
      <c r="J494" s="58" t="str">
        <f t="shared" si="71"/>
        <v/>
      </c>
      <c r="K494" s="58" t="str">
        <f t="shared" si="72"/>
        <v/>
      </c>
      <c r="L494" s="59" t="str">
        <f>IF(C494="","",DATEDIF(C494,'Premium Table'!$B$6,"Y"))</f>
        <v/>
      </c>
      <c r="M494" s="59" t="str">
        <f t="shared" si="76"/>
        <v/>
      </c>
      <c r="N494" s="59" t="str">
        <f t="shared" si="73"/>
        <v/>
      </c>
      <c r="O494" s="102" t="str">
        <f t="shared" si="77"/>
        <v/>
      </c>
      <c r="P494" s="102" t="str">
        <f t="shared" si="78"/>
        <v/>
      </c>
      <c r="Q494" s="68">
        <f t="shared" si="79"/>
        <v>0</v>
      </c>
      <c r="R494" s="102" t="str">
        <f t="shared" si="74"/>
        <v/>
      </c>
    </row>
    <row r="495" spans="1:18">
      <c r="A495" s="58" t="str">
        <f t="shared" si="75"/>
        <v/>
      </c>
      <c r="B495" s="58"/>
      <c r="C495" s="57"/>
      <c r="D495" s="58"/>
      <c r="E495" s="58"/>
      <c r="F495" s="58"/>
      <c r="G495" s="58"/>
      <c r="H495" s="58"/>
      <c r="I495" s="58"/>
      <c r="J495" s="58" t="str">
        <f t="shared" si="71"/>
        <v/>
      </c>
      <c r="K495" s="58" t="str">
        <f t="shared" si="72"/>
        <v/>
      </c>
      <c r="L495" s="59" t="str">
        <f>IF(C495="","",DATEDIF(C495,'Premium Table'!$B$6,"Y"))</f>
        <v/>
      </c>
      <c r="M495" s="59" t="str">
        <f t="shared" si="76"/>
        <v/>
      </c>
      <c r="N495" s="59" t="str">
        <f t="shared" si="73"/>
        <v/>
      </c>
      <c r="O495" s="102" t="str">
        <f t="shared" si="77"/>
        <v/>
      </c>
      <c r="P495" s="102" t="str">
        <f t="shared" si="78"/>
        <v/>
      </c>
      <c r="Q495" s="68">
        <f t="shared" si="79"/>
        <v>0</v>
      </c>
      <c r="R495" s="102" t="str">
        <f t="shared" si="74"/>
        <v/>
      </c>
    </row>
    <row r="496" spans="1:18">
      <c r="A496" s="58" t="str">
        <f t="shared" si="75"/>
        <v/>
      </c>
      <c r="B496" s="58"/>
      <c r="C496" s="57"/>
      <c r="D496" s="58"/>
      <c r="E496" s="58"/>
      <c r="F496" s="58"/>
      <c r="G496" s="58"/>
      <c r="H496" s="58"/>
      <c r="I496" s="58"/>
      <c r="J496" s="58" t="str">
        <f t="shared" si="71"/>
        <v/>
      </c>
      <c r="K496" s="58" t="str">
        <f t="shared" si="72"/>
        <v/>
      </c>
      <c r="L496" s="59" t="str">
        <f>IF(C496="","",DATEDIF(C496,'Premium Table'!$B$6,"Y"))</f>
        <v/>
      </c>
      <c r="M496" s="59" t="str">
        <f t="shared" si="76"/>
        <v/>
      </c>
      <c r="N496" s="59" t="str">
        <f t="shared" si="73"/>
        <v/>
      </c>
      <c r="O496" s="102" t="str">
        <f t="shared" si="77"/>
        <v/>
      </c>
      <c r="P496" s="102" t="str">
        <f t="shared" si="78"/>
        <v/>
      </c>
      <c r="Q496" s="68">
        <f t="shared" si="79"/>
        <v>0</v>
      </c>
      <c r="R496" s="102" t="str">
        <f t="shared" si="74"/>
        <v/>
      </c>
    </row>
    <row r="497" spans="1:18">
      <c r="A497" s="58" t="str">
        <f t="shared" si="75"/>
        <v/>
      </c>
      <c r="B497" s="58"/>
      <c r="C497" s="57"/>
      <c r="D497" s="58"/>
      <c r="E497" s="58"/>
      <c r="F497" s="58"/>
      <c r="G497" s="58"/>
      <c r="H497" s="58"/>
      <c r="I497" s="58"/>
      <c r="J497" s="58" t="str">
        <f t="shared" si="71"/>
        <v/>
      </c>
      <c r="K497" s="58" t="str">
        <f t="shared" si="72"/>
        <v/>
      </c>
      <c r="L497" s="59" t="str">
        <f>IF(C497="","",DATEDIF(C497,'Premium Table'!$B$6,"Y"))</f>
        <v/>
      </c>
      <c r="M497" s="59" t="str">
        <f t="shared" si="76"/>
        <v/>
      </c>
      <c r="N497" s="59" t="str">
        <f t="shared" si="73"/>
        <v/>
      </c>
      <c r="O497" s="102" t="str">
        <f t="shared" si="77"/>
        <v/>
      </c>
      <c r="P497" s="102" t="str">
        <f t="shared" si="78"/>
        <v/>
      </c>
      <c r="Q497" s="68">
        <f t="shared" si="79"/>
        <v>0</v>
      </c>
      <c r="R497" s="102" t="str">
        <f t="shared" si="74"/>
        <v/>
      </c>
    </row>
    <row r="498" spans="1:18">
      <c r="A498" s="58" t="str">
        <f t="shared" si="75"/>
        <v/>
      </c>
      <c r="B498" s="58"/>
      <c r="C498" s="57"/>
      <c r="D498" s="58"/>
      <c r="E498" s="58"/>
      <c r="F498" s="58"/>
      <c r="G498" s="58"/>
      <c r="H498" s="58"/>
      <c r="I498" s="58"/>
      <c r="J498" s="58" t="str">
        <f t="shared" si="71"/>
        <v/>
      </c>
      <c r="K498" s="58" t="str">
        <f t="shared" si="72"/>
        <v/>
      </c>
      <c r="L498" s="59" t="str">
        <f>IF(C498="","",DATEDIF(C498,'Premium Table'!$B$6,"Y"))</f>
        <v/>
      </c>
      <c r="M498" s="59" t="str">
        <f t="shared" si="76"/>
        <v/>
      </c>
      <c r="N498" s="59" t="str">
        <f t="shared" si="73"/>
        <v/>
      </c>
      <c r="O498" s="102" t="str">
        <f t="shared" si="77"/>
        <v/>
      </c>
      <c r="P498" s="102" t="str">
        <f t="shared" si="78"/>
        <v/>
      </c>
      <c r="Q498" s="68">
        <f t="shared" si="79"/>
        <v>0</v>
      </c>
      <c r="R498" s="102" t="str">
        <f t="shared" si="74"/>
        <v/>
      </c>
    </row>
    <row r="499" spans="1:18">
      <c r="A499" s="58" t="str">
        <f t="shared" si="75"/>
        <v/>
      </c>
      <c r="B499" s="58"/>
      <c r="C499" s="57"/>
      <c r="D499" s="58"/>
      <c r="E499" s="58"/>
      <c r="F499" s="58"/>
      <c r="G499" s="58"/>
      <c r="H499" s="58"/>
      <c r="I499" s="58"/>
      <c r="J499" s="58" t="str">
        <f t="shared" si="71"/>
        <v/>
      </c>
      <c r="K499" s="58" t="str">
        <f t="shared" si="72"/>
        <v/>
      </c>
      <c r="L499" s="59" t="str">
        <f>IF(C499="","",DATEDIF(C499,'Premium Table'!$B$6,"Y"))</f>
        <v/>
      </c>
      <c r="M499" s="59" t="str">
        <f t="shared" si="76"/>
        <v/>
      </c>
      <c r="N499" s="59" t="str">
        <f t="shared" si="73"/>
        <v/>
      </c>
      <c r="O499" s="102" t="str">
        <f t="shared" si="77"/>
        <v/>
      </c>
      <c r="P499" s="102" t="str">
        <f t="shared" si="78"/>
        <v/>
      </c>
      <c r="Q499" s="68">
        <f t="shared" si="79"/>
        <v>0</v>
      </c>
      <c r="R499" s="102" t="str">
        <f t="shared" si="74"/>
        <v/>
      </c>
    </row>
    <row r="500" spans="1:18">
      <c r="A500" s="58" t="str">
        <f t="shared" si="75"/>
        <v/>
      </c>
      <c r="B500" s="58"/>
      <c r="C500" s="57"/>
      <c r="D500" s="58"/>
      <c r="E500" s="58"/>
      <c r="F500" s="58"/>
      <c r="G500" s="58"/>
      <c r="H500" s="58"/>
      <c r="I500" s="58"/>
      <c r="J500" s="58" t="str">
        <f t="shared" si="71"/>
        <v/>
      </c>
      <c r="K500" s="58" t="str">
        <f t="shared" si="72"/>
        <v/>
      </c>
      <c r="L500" s="59" t="str">
        <f>IF(C500="","",DATEDIF(C500,'Premium Table'!$B$6,"Y"))</f>
        <v/>
      </c>
      <c r="M500" s="59" t="str">
        <f t="shared" si="76"/>
        <v/>
      </c>
      <c r="N500" s="59" t="str">
        <f t="shared" si="73"/>
        <v/>
      </c>
      <c r="O500" s="102" t="str">
        <f t="shared" si="77"/>
        <v/>
      </c>
      <c r="P500" s="102" t="str">
        <f t="shared" si="78"/>
        <v/>
      </c>
      <c r="Q500" s="68">
        <f t="shared" si="79"/>
        <v>0</v>
      </c>
      <c r="R500" s="102" t="str">
        <f t="shared" si="74"/>
        <v/>
      </c>
    </row>
    <row r="501" spans="1:18">
      <c r="A501" s="58" t="str">
        <f t="shared" si="75"/>
        <v/>
      </c>
      <c r="B501" s="58"/>
      <c r="C501" s="57"/>
      <c r="D501" s="58"/>
      <c r="E501" s="58"/>
      <c r="F501" s="58"/>
      <c r="G501" s="58"/>
      <c r="H501" s="58"/>
      <c r="I501" s="58"/>
      <c r="J501" s="58" t="str">
        <f t="shared" si="71"/>
        <v/>
      </c>
      <c r="K501" s="58" t="str">
        <f t="shared" si="72"/>
        <v/>
      </c>
      <c r="L501" s="59" t="str">
        <f>IF(C501="","",DATEDIF(C501,'Premium Table'!$B$6,"Y"))</f>
        <v/>
      </c>
      <c r="M501" s="59" t="str">
        <f t="shared" si="76"/>
        <v/>
      </c>
      <c r="N501" s="59" t="str">
        <f t="shared" si="73"/>
        <v/>
      </c>
      <c r="O501" s="102" t="str">
        <f t="shared" si="77"/>
        <v/>
      </c>
      <c r="P501" s="102" t="str">
        <f t="shared" si="78"/>
        <v/>
      </c>
      <c r="Q501" s="68">
        <f t="shared" si="79"/>
        <v>0</v>
      </c>
      <c r="R501" s="102" t="str">
        <f t="shared" si="74"/>
        <v/>
      </c>
    </row>
    <row r="502" spans="1:18">
      <c r="A502" s="58" t="str">
        <f t="shared" si="75"/>
        <v/>
      </c>
      <c r="B502" s="58"/>
      <c r="C502" s="57"/>
      <c r="D502" s="58"/>
      <c r="E502" s="58"/>
      <c r="F502" s="58"/>
      <c r="G502" s="58"/>
      <c r="H502" s="58"/>
      <c r="I502" s="58"/>
      <c r="J502" s="58" t="str">
        <f t="shared" si="71"/>
        <v/>
      </c>
      <c r="K502" s="58" t="str">
        <f t="shared" si="72"/>
        <v/>
      </c>
      <c r="L502" s="59" t="str">
        <f>IF(C502="","",DATEDIF(C502,'Premium Table'!$B$6,"Y"))</f>
        <v/>
      </c>
      <c r="M502" s="59" t="str">
        <f t="shared" si="76"/>
        <v/>
      </c>
      <c r="N502" s="59" t="str">
        <f t="shared" si="73"/>
        <v/>
      </c>
      <c r="O502" s="102" t="str">
        <f t="shared" si="77"/>
        <v/>
      </c>
      <c r="P502" s="102" t="str">
        <f t="shared" si="78"/>
        <v/>
      </c>
      <c r="Q502" s="68">
        <f t="shared" si="79"/>
        <v>0</v>
      </c>
      <c r="R502" s="102" t="str">
        <f t="shared" si="74"/>
        <v/>
      </c>
    </row>
    <row r="503" spans="1:18">
      <c r="A503" s="58" t="str">
        <f t="shared" si="75"/>
        <v/>
      </c>
      <c r="B503" s="58"/>
      <c r="C503" s="57"/>
      <c r="D503" s="58"/>
      <c r="E503" s="58"/>
      <c r="F503" s="58"/>
      <c r="G503" s="58"/>
      <c r="H503" s="58"/>
      <c r="I503" s="58"/>
      <c r="J503" s="58" t="str">
        <f t="shared" si="71"/>
        <v/>
      </c>
      <c r="K503" s="58" t="str">
        <f t="shared" si="72"/>
        <v/>
      </c>
      <c r="L503" s="59" t="str">
        <f>IF(C503="","",DATEDIF(C503,'Premium Table'!$B$6,"Y"))</f>
        <v/>
      </c>
      <c r="M503" s="59" t="str">
        <f t="shared" si="76"/>
        <v/>
      </c>
      <c r="N503" s="59" t="str">
        <f t="shared" si="73"/>
        <v/>
      </c>
      <c r="O503" s="102" t="str">
        <f t="shared" si="77"/>
        <v/>
      </c>
      <c r="P503" s="102" t="str">
        <f t="shared" si="78"/>
        <v/>
      </c>
      <c r="Q503" s="68">
        <f t="shared" si="79"/>
        <v>0</v>
      </c>
      <c r="R503" s="102" t="str">
        <f t="shared" si="74"/>
        <v/>
      </c>
    </row>
    <row r="504" spans="1:18">
      <c r="A504" s="58" t="str">
        <f t="shared" si="75"/>
        <v/>
      </c>
      <c r="B504" s="58"/>
      <c r="C504" s="57"/>
      <c r="D504" s="58"/>
      <c r="E504" s="58"/>
      <c r="F504" s="58"/>
      <c r="G504" s="58"/>
      <c r="H504" s="58"/>
      <c r="I504" s="58"/>
      <c r="J504" s="58" t="str">
        <f t="shared" si="71"/>
        <v/>
      </c>
      <c r="K504" s="58" t="str">
        <f t="shared" si="72"/>
        <v/>
      </c>
      <c r="L504" s="59" t="str">
        <f>IF(C504="","",DATEDIF(C504,'Premium Table'!$B$6,"Y"))</f>
        <v/>
      </c>
      <c r="M504" s="59" t="str">
        <f t="shared" si="76"/>
        <v/>
      </c>
      <c r="N504" s="59" t="str">
        <f t="shared" si="73"/>
        <v/>
      </c>
      <c r="O504" s="102" t="str">
        <f t="shared" si="77"/>
        <v/>
      </c>
      <c r="P504" s="102" t="str">
        <f t="shared" si="78"/>
        <v/>
      </c>
      <c r="Q504" s="68">
        <f t="shared" si="79"/>
        <v>0</v>
      </c>
      <c r="R504" s="102" t="str">
        <f t="shared" si="74"/>
        <v/>
      </c>
    </row>
    <row r="505" spans="1:18">
      <c r="A505" s="58" t="str">
        <f t="shared" si="75"/>
        <v/>
      </c>
      <c r="B505" s="58"/>
      <c r="C505" s="57"/>
      <c r="D505" s="58"/>
      <c r="E505" s="58"/>
      <c r="F505" s="58"/>
      <c r="G505" s="58"/>
      <c r="H505" s="58"/>
      <c r="I505" s="58"/>
      <c r="J505" s="58" t="str">
        <f t="shared" si="71"/>
        <v/>
      </c>
      <c r="K505" s="58" t="str">
        <f t="shared" si="72"/>
        <v/>
      </c>
      <c r="L505" s="59" t="str">
        <f>IF(C505="","",DATEDIF(C505,'Premium Table'!$B$6,"Y"))</f>
        <v/>
      </c>
      <c r="M505" s="59" t="str">
        <f t="shared" si="76"/>
        <v/>
      </c>
      <c r="N505" s="59" t="str">
        <f t="shared" si="73"/>
        <v/>
      </c>
      <c r="O505" s="102" t="str">
        <f t="shared" si="77"/>
        <v/>
      </c>
      <c r="P505" s="102" t="str">
        <f t="shared" si="78"/>
        <v/>
      </c>
      <c r="Q505" s="68">
        <f t="shared" si="79"/>
        <v>0</v>
      </c>
      <c r="R505" s="102" t="str">
        <f t="shared" si="74"/>
        <v/>
      </c>
    </row>
    <row r="506" spans="1:18">
      <c r="A506" s="58" t="str">
        <f t="shared" si="75"/>
        <v/>
      </c>
      <c r="B506" s="58"/>
      <c r="C506" s="57"/>
      <c r="D506" s="58"/>
      <c r="E506" s="58"/>
      <c r="F506" s="58"/>
      <c r="G506" s="58"/>
      <c r="H506" s="58"/>
      <c r="I506" s="58"/>
      <c r="J506" s="58" t="str">
        <f t="shared" si="71"/>
        <v/>
      </c>
      <c r="K506" s="58" t="str">
        <f t="shared" si="72"/>
        <v/>
      </c>
      <c r="L506" s="59" t="str">
        <f>IF(C506="","",DATEDIF(C506,'Premium Table'!$B$6,"Y"))</f>
        <v/>
      </c>
      <c r="M506" s="59" t="str">
        <f t="shared" si="76"/>
        <v/>
      </c>
      <c r="N506" s="59" t="str">
        <f t="shared" si="73"/>
        <v/>
      </c>
      <c r="O506" s="102" t="str">
        <f t="shared" si="77"/>
        <v/>
      </c>
      <c r="P506" s="102" t="str">
        <f t="shared" si="78"/>
        <v/>
      </c>
      <c r="Q506" s="68">
        <f t="shared" si="79"/>
        <v>0</v>
      </c>
      <c r="R506" s="102" t="str">
        <f t="shared" si="74"/>
        <v/>
      </c>
    </row>
    <row r="507" spans="1:18" ht="16">
      <c r="A507" s="117" t="s">
        <v>296</v>
      </c>
      <c r="B507" s="117" t="s">
        <v>296</v>
      </c>
      <c r="C507" s="117" t="s">
        <v>296</v>
      </c>
      <c r="D507" s="117" t="s">
        <v>296</v>
      </c>
      <c r="E507" s="117" t="s">
        <v>296</v>
      </c>
      <c r="F507" s="117" t="s">
        <v>296</v>
      </c>
      <c r="G507" s="117" t="s">
        <v>296</v>
      </c>
      <c r="H507" s="117" t="s">
        <v>296</v>
      </c>
      <c r="I507" s="117" t="s">
        <v>296</v>
      </c>
      <c r="J507" s="117" t="s">
        <v>296</v>
      </c>
      <c r="K507" s="117" t="s">
        <v>296</v>
      </c>
      <c r="L507" s="117" t="s">
        <v>296</v>
      </c>
      <c r="M507" s="117" t="s">
        <v>296</v>
      </c>
      <c r="N507" s="117" t="s">
        <v>296</v>
      </c>
      <c r="O507" s="117" t="s">
        <v>296</v>
      </c>
      <c r="P507" s="117" t="s">
        <v>296</v>
      </c>
      <c r="Q507" s="117" t="s">
        <v>296</v>
      </c>
      <c r="R507" s="117" t="s">
        <v>296</v>
      </c>
    </row>
  </sheetData>
  <autoFilter ref="A5:R507" xr:uid="{75E1CBCB-0708-684D-8142-BB7C9EBD552A}"/>
  <mergeCells count="8">
    <mergeCell ref="AU4:AX4"/>
    <mergeCell ref="AY4:BB4"/>
    <mergeCell ref="W4:Z4"/>
    <mergeCell ref="AA4:AD4"/>
    <mergeCell ref="AE4:AH4"/>
    <mergeCell ref="AI4:AL4"/>
    <mergeCell ref="AM4:AP4"/>
    <mergeCell ref="AQ4:AT4"/>
  </mergeCells>
  <phoneticPr fontId="30" type="noConversion"/>
  <conditionalFormatting sqref="C6:C506">
    <cfRule type="duplicateValues" dxfId="2" priority="1"/>
  </conditionalFormatting>
  <conditionalFormatting sqref="L6:L506">
    <cfRule type="cellIs" dxfId="1" priority="2" operator="greaterThan">
      <formula>64</formula>
    </cfRule>
    <cfRule type="expression" dxfId="0" priority="3">
      <formula>"&gt;64"</formula>
    </cfRule>
  </conditionalFormatting>
  <dataValidations count="1">
    <dataValidation type="list" allowBlank="1" showInputMessage="1" showErrorMessage="1" sqref="H6:H506" xr:uid="{90268B57-5515-B048-BCA4-121CDC3D1224}">
      <formula1>"DXB,AUH"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AF6C8-2AAE-2B45-9044-AC904C6CB153}">
  <dimension ref="A1:H179"/>
  <sheetViews>
    <sheetView tabSelected="1" zoomScale="150" workbookViewId="0">
      <pane ySplit="1" topLeftCell="A63" activePane="bottomLeft" state="frozen"/>
      <selection pane="bottomLeft" activeCell="D134" sqref="D134:H134"/>
    </sheetView>
  </sheetViews>
  <sheetFormatPr baseColWidth="10" defaultRowHeight="15"/>
  <cols>
    <col min="1" max="1" width="20" style="56" customWidth="1"/>
    <col min="2" max="2" width="24.1640625" style="56" customWidth="1"/>
    <col min="3" max="3" width="14.1640625" style="56" customWidth="1"/>
    <col min="4" max="4" width="26.6640625" style="56" customWidth="1"/>
    <col min="5" max="6" width="13.33203125" style="56" customWidth="1"/>
    <col min="7" max="7" width="15" style="56" customWidth="1"/>
    <col min="8" max="8" width="13.33203125" style="56" customWidth="1"/>
    <col min="9" max="16384" width="10.83203125" style="56"/>
  </cols>
  <sheetData>
    <row r="1" spans="1:8" ht="28" customHeight="1">
      <c r="A1" s="345" t="s">
        <v>303</v>
      </c>
      <c r="B1" s="345"/>
      <c r="C1" s="345"/>
      <c r="D1" s="345"/>
      <c r="E1" s="345"/>
      <c r="F1" s="345"/>
      <c r="G1" s="345"/>
      <c r="H1" s="345"/>
    </row>
    <row r="2" spans="1:8" ht="18" customHeight="1">
      <c r="A2" s="220" t="s">
        <v>170</v>
      </c>
      <c r="B2" s="221" t="s">
        <v>297</v>
      </c>
      <c r="C2" s="221"/>
      <c r="D2" s="220" t="s">
        <v>298</v>
      </c>
      <c r="E2" s="221">
        <v>1</v>
      </c>
      <c r="F2" s="221"/>
      <c r="G2" s="220" t="s">
        <v>299</v>
      </c>
      <c r="H2" s="222">
        <v>45746</v>
      </c>
    </row>
    <row r="3" spans="1:8" ht="18" customHeight="1">
      <c r="A3" s="220" t="s">
        <v>300</v>
      </c>
      <c r="B3" s="221" t="s">
        <v>301</v>
      </c>
      <c r="C3" s="221"/>
      <c r="D3" s="220" t="s">
        <v>89</v>
      </c>
      <c r="E3" s="221" t="s">
        <v>302</v>
      </c>
      <c r="F3" s="221"/>
      <c r="G3" s="220" t="s">
        <v>304</v>
      </c>
      <c r="H3" s="221" t="s">
        <v>1</v>
      </c>
    </row>
    <row r="5" spans="1:8" ht="22" customHeight="1">
      <c r="A5" s="329" t="s">
        <v>305</v>
      </c>
      <c r="B5" s="329"/>
      <c r="C5" s="329"/>
      <c r="D5" s="329"/>
      <c r="E5" s="329"/>
      <c r="F5" s="329"/>
      <c r="G5" s="329"/>
      <c r="H5" s="329"/>
    </row>
    <row r="6" spans="1:8" ht="52" customHeight="1">
      <c r="A6" s="336" t="s">
        <v>306</v>
      </c>
      <c r="B6" s="336"/>
      <c r="C6" s="336"/>
      <c r="D6" s="336"/>
      <c r="E6" s="336"/>
      <c r="F6" s="336"/>
      <c r="G6" s="336"/>
      <c r="H6" s="336"/>
    </row>
    <row r="8" spans="1:8" ht="22" customHeight="1">
      <c r="A8" s="329" t="s">
        <v>307</v>
      </c>
      <c r="B8" s="329"/>
      <c r="C8" s="329"/>
      <c r="D8" s="329"/>
      <c r="E8" s="329"/>
      <c r="F8" s="329"/>
      <c r="G8" s="329"/>
      <c r="H8" s="329"/>
    </row>
    <row r="9" spans="1:8" ht="16" customHeight="1">
      <c r="A9" s="342" t="s">
        <v>308</v>
      </c>
      <c r="B9" s="342"/>
      <c r="C9" s="342"/>
      <c r="D9" s="342"/>
      <c r="E9" s="342"/>
      <c r="F9" s="342"/>
      <c r="G9" s="342"/>
      <c r="H9" s="342"/>
    </row>
    <row r="10" spans="1:8" ht="16" customHeight="1">
      <c r="A10" s="343" t="s">
        <v>309</v>
      </c>
      <c r="B10" s="343"/>
      <c r="C10" s="343"/>
      <c r="D10" s="343"/>
      <c r="E10" s="343"/>
      <c r="F10" s="343"/>
      <c r="G10" s="343"/>
      <c r="H10" s="343"/>
    </row>
    <row r="11" spans="1:8" ht="16" customHeight="1">
      <c r="A11" s="342" t="s">
        <v>310</v>
      </c>
      <c r="B11" s="342"/>
      <c r="C11" s="342"/>
      <c r="D11" s="342"/>
      <c r="E11" s="342"/>
      <c r="F11" s="342"/>
      <c r="G11" s="342"/>
      <c r="H11" s="342"/>
    </row>
    <row r="12" spans="1:8" ht="16" customHeight="1">
      <c r="A12" s="343" t="s">
        <v>311</v>
      </c>
      <c r="B12" s="343"/>
      <c r="C12" s="343"/>
      <c r="D12" s="343"/>
      <c r="E12" s="343"/>
      <c r="F12" s="343"/>
      <c r="G12" s="343"/>
      <c r="H12" s="343"/>
    </row>
    <row r="13" spans="1:8" ht="16" customHeight="1">
      <c r="A13" s="342" t="s">
        <v>312</v>
      </c>
      <c r="B13" s="342"/>
      <c r="C13" s="342"/>
      <c r="D13" s="342"/>
      <c r="E13" s="342"/>
      <c r="F13" s="342"/>
      <c r="G13" s="342"/>
      <c r="H13" s="342"/>
    </row>
    <row r="15" spans="1:8" ht="22" customHeight="1">
      <c r="A15" s="329" t="s">
        <v>313</v>
      </c>
      <c r="B15" s="329"/>
      <c r="C15" s="329"/>
      <c r="D15" s="329"/>
      <c r="E15" s="329"/>
      <c r="F15" s="329"/>
      <c r="G15" s="329"/>
      <c r="H15" s="329"/>
    </row>
    <row r="16" spans="1:8" ht="16" customHeight="1">
      <c r="A16" s="226" t="s">
        <v>314</v>
      </c>
      <c r="B16" s="226" t="s">
        <v>315</v>
      </c>
      <c r="C16" s="226" t="s">
        <v>316</v>
      </c>
      <c r="D16" s="226"/>
      <c r="E16" s="226"/>
      <c r="F16" s="226"/>
      <c r="G16" s="226" t="s">
        <v>317</v>
      </c>
      <c r="H16" s="226"/>
    </row>
    <row r="17" spans="1:8" ht="18" customHeight="1">
      <c r="A17" s="224" t="s">
        <v>318</v>
      </c>
      <c r="B17" s="227" t="s">
        <v>319</v>
      </c>
      <c r="C17" s="332" t="s">
        <v>320</v>
      </c>
      <c r="D17" s="332"/>
      <c r="E17" s="332"/>
      <c r="F17" s="332"/>
      <c r="G17" s="344">
        <v>1</v>
      </c>
      <c r="H17" s="344"/>
    </row>
    <row r="18" spans="1:8" ht="18" customHeight="1">
      <c r="A18" s="225" t="s">
        <v>321</v>
      </c>
      <c r="B18" s="228" t="s">
        <v>322</v>
      </c>
      <c r="C18" s="331" t="s">
        <v>323</v>
      </c>
      <c r="D18" s="331"/>
      <c r="E18" s="331"/>
      <c r="F18" s="331"/>
      <c r="G18" s="341" t="s">
        <v>324</v>
      </c>
      <c r="H18" s="341"/>
    </row>
    <row r="19" spans="1:8" ht="18" customHeight="1">
      <c r="A19" s="224" t="s">
        <v>325</v>
      </c>
      <c r="B19" s="227" t="s">
        <v>326</v>
      </c>
      <c r="C19" s="332" t="s">
        <v>327</v>
      </c>
      <c r="D19" s="332"/>
      <c r="E19" s="332"/>
      <c r="F19" s="332"/>
      <c r="G19" s="340" t="s">
        <v>328</v>
      </c>
      <c r="H19" s="340"/>
    </row>
    <row r="20" spans="1:8" ht="18" customHeight="1">
      <c r="A20" s="225" t="s">
        <v>329</v>
      </c>
      <c r="B20" s="228" t="s">
        <v>330</v>
      </c>
      <c r="C20" s="331" t="s">
        <v>331</v>
      </c>
      <c r="D20" s="331"/>
      <c r="E20" s="331"/>
      <c r="F20" s="331"/>
      <c r="G20" s="341" t="s">
        <v>332</v>
      </c>
      <c r="H20" s="341"/>
    </row>
    <row r="21" spans="1:8" ht="18" customHeight="1">
      <c r="A21" s="224" t="s">
        <v>333</v>
      </c>
      <c r="B21" s="227" t="s">
        <v>334</v>
      </c>
      <c r="C21" s="332" t="s">
        <v>335</v>
      </c>
      <c r="D21" s="332"/>
      <c r="E21" s="332"/>
      <c r="F21" s="332"/>
      <c r="G21" s="340" t="s">
        <v>336</v>
      </c>
      <c r="H21" s="340"/>
    </row>
    <row r="23" spans="1:8" ht="22" customHeight="1">
      <c r="A23" s="329" t="s">
        <v>337</v>
      </c>
      <c r="B23" s="329"/>
      <c r="C23" s="329"/>
      <c r="D23" s="329"/>
      <c r="E23" s="329"/>
      <c r="F23" s="329"/>
      <c r="G23" s="329"/>
      <c r="H23" s="329"/>
    </row>
    <row r="24" spans="1:8" ht="18" customHeight="1">
      <c r="A24" s="337" t="s">
        <v>338</v>
      </c>
      <c r="B24" s="337"/>
      <c r="C24" s="337"/>
      <c r="D24" s="337"/>
      <c r="E24" s="337"/>
      <c r="F24" s="337"/>
      <c r="G24" s="337"/>
      <c r="H24" s="337"/>
    </row>
    <row r="25" spans="1:8" ht="20" customHeight="1">
      <c r="A25" s="339" t="s">
        <v>339</v>
      </c>
      <c r="B25" s="339"/>
      <c r="C25" s="339"/>
      <c r="D25" s="339"/>
      <c r="E25" s="339"/>
      <c r="F25" s="339"/>
      <c r="G25" s="339"/>
      <c r="H25" s="339"/>
    </row>
    <row r="26" spans="1:8" ht="20" customHeight="1">
      <c r="A26" s="335" t="s">
        <v>340</v>
      </c>
      <c r="B26" s="335"/>
      <c r="C26" s="335"/>
      <c r="D26" s="335"/>
      <c r="E26" s="335"/>
      <c r="F26" s="335"/>
      <c r="G26" s="335"/>
      <c r="H26" s="335"/>
    </row>
    <row r="27" spans="1:8" ht="20" customHeight="1">
      <c r="A27" s="339" t="s">
        <v>341</v>
      </c>
      <c r="B27" s="339"/>
      <c r="C27" s="339"/>
      <c r="D27" s="339"/>
      <c r="E27" s="339"/>
      <c r="F27" s="339"/>
      <c r="G27" s="339"/>
      <c r="H27" s="339"/>
    </row>
    <row r="28" spans="1:8" ht="20" customHeight="1">
      <c r="A28" s="335" t="s">
        <v>342</v>
      </c>
      <c r="B28" s="335"/>
      <c r="C28" s="335"/>
      <c r="D28" s="335"/>
      <c r="E28" s="335"/>
      <c r="F28" s="335"/>
      <c r="G28" s="335"/>
      <c r="H28" s="335"/>
    </row>
    <row r="29" spans="1:8" ht="20" customHeight="1">
      <c r="A29" s="339" t="s">
        <v>343</v>
      </c>
      <c r="B29" s="339"/>
      <c r="C29" s="339"/>
      <c r="D29" s="339"/>
      <c r="E29" s="339"/>
      <c r="F29" s="339"/>
      <c r="G29" s="339"/>
      <c r="H29" s="339"/>
    </row>
    <row r="30" spans="1:8" ht="20" customHeight="1">
      <c r="A30" s="335" t="s">
        <v>344</v>
      </c>
      <c r="B30" s="335"/>
      <c r="C30" s="335"/>
      <c r="D30" s="335"/>
      <c r="E30" s="335"/>
      <c r="F30" s="335"/>
      <c r="G30" s="335"/>
      <c r="H30" s="335"/>
    </row>
    <row r="31" spans="1:8" ht="20" customHeight="1">
      <c r="A31" s="339" t="s">
        <v>345</v>
      </c>
      <c r="B31" s="339"/>
      <c r="C31" s="339"/>
      <c r="D31" s="339"/>
      <c r="E31" s="339"/>
      <c r="F31" s="339"/>
      <c r="G31" s="339"/>
      <c r="H31" s="339"/>
    </row>
    <row r="33" spans="1:8" ht="18" customHeight="1">
      <c r="A33" s="337" t="s">
        <v>346</v>
      </c>
      <c r="B33" s="337"/>
      <c r="C33" s="337"/>
      <c r="D33" s="337"/>
      <c r="E33" s="337"/>
      <c r="F33" s="337"/>
      <c r="G33" s="337"/>
      <c r="H33" s="337"/>
    </row>
    <row r="34" spans="1:8" ht="16" customHeight="1">
      <c r="A34" s="338" t="s">
        <v>347</v>
      </c>
      <c r="B34" s="338"/>
      <c r="C34" s="338"/>
      <c r="D34" s="338"/>
      <c r="E34" s="338"/>
      <c r="F34" s="338"/>
      <c r="G34" s="338"/>
      <c r="H34" s="338"/>
    </row>
    <row r="35" spans="1:8" ht="16" customHeight="1">
      <c r="A35" s="331" t="s">
        <v>348</v>
      </c>
      <c r="B35" s="331"/>
      <c r="C35" s="331"/>
      <c r="D35" s="331"/>
      <c r="E35" s="331"/>
      <c r="F35" s="331"/>
      <c r="G35" s="331"/>
      <c r="H35" s="331"/>
    </row>
    <row r="36" spans="1:8" ht="16" customHeight="1">
      <c r="A36" s="338" t="s">
        <v>349</v>
      </c>
      <c r="B36" s="338"/>
      <c r="C36" s="338"/>
      <c r="D36" s="338"/>
      <c r="E36" s="338"/>
      <c r="F36" s="338"/>
      <c r="G36" s="338"/>
      <c r="H36" s="338"/>
    </row>
    <row r="37" spans="1:8" ht="16" customHeight="1">
      <c r="A37" s="331" t="s">
        <v>350</v>
      </c>
      <c r="B37" s="331"/>
      <c r="C37" s="331"/>
      <c r="D37" s="331"/>
      <c r="E37" s="331"/>
      <c r="F37" s="331"/>
      <c r="G37" s="331"/>
      <c r="H37" s="331"/>
    </row>
    <row r="38" spans="1:8" ht="16" customHeight="1">
      <c r="A38" s="338" t="s">
        <v>351</v>
      </c>
      <c r="B38" s="338"/>
      <c r="C38" s="338"/>
      <c r="D38" s="338"/>
      <c r="E38" s="338"/>
      <c r="F38" s="338"/>
      <c r="G38" s="338"/>
      <c r="H38" s="338"/>
    </row>
    <row r="40" spans="1:8" ht="22" customHeight="1">
      <c r="A40" s="329" t="s">
        <v>352</v>
      </c>
      <c r="B40" s="329"/>
      <c r="C40" s="329"/>
      <c r="D40" s="329"/>
      <c r="E40" s="329"/>
      <c r="F40" s="329"/>
      <c r="G40" s="329"/>
      <c r="H40" s="329"/>
    </row>
    <row r="41" spans="1:8" ht="16" customHeight="1">
      <c r="A41" s="226" t="s">
        <v>353</v>
      </c>
      <c r="B41" s="330" t="s">
        <v>354</v>
      </c>
      <c r="C41" s="330"/>
      <c r="D41" s="330" t="s">
        <v>355</v>
      </c>
      <c r="E41" s="330"/>
      <c r="F41" s="330"/>
      <c r="G41" s="330"/>
      <c r="H41" s="330"/>
    </row>
    <row r="42" spans="1:8" ht="18" customHeight="1">
      <c r="A42" s="230" t="s">
        <v>358</v>
      </c>
      <c r="B42" s="332" t="s">
        <v>356</v>
      </c>
      <c r="C42" s="332"/>
      <c r="D42" s="332" t="s">
        <v>357</v>
      </c>
      <c r="E42" s="332"/>
      <c r="F42" s="332"/>
      <c r="G42" s="332"/>
      <c r="H42" s="332"/>
    </row>
    <row r="43" spans="1:8" ht="18" customHeight="1">
      <c r="A43" s="229" t="s">
        <v>901</v>
      </c>
      <c r="B43" s="331" t="s">
        <v>359</v>
      </c>
      <c r="C43" s="331"/>
      <c r="D43" s="331" t="s">
        <v>360</v>
      </c>
      <c r="E43" s="331"/>
      <c r="F43" s="331"/>
      <c r="G43" s="331"/>
      <c r="H43" s="331"/>
    </row>
    <row r="44" spans="1:8" ht="18" customHeight="1">
      <c r="A44" s="230" t="s">
        <v>361</v>
      </c>
      <c r="B44" s="332" t="s">
        <v>362</v>
      </c>
      <c r="C44" s="332"/>
      <c r="D44" s="332" t="s">
        <v>363</v>
      </c>
      <c r="E44" s="332"/>
      <c r="F44" s="332"/>
      <c r="G44" s="332"/>
      <c r="H44" s="332"/>
    </row>
    <row r="45" spans="1:8" ht="18" customHeight="1">
      <c r="A45" s="229" t="s">
        <v>364</v>
      </c>
      <c r="B45" s="331" t="s">
        <v>365</v>
      </c>
      <c r="C45" s="331"/>
      <c r="D45" s="331" t="s">
        <v>366</v>
      </c>
      <c r="E45" s="331"/>
      <c r="F45" s="331"/>
      <c r="G45" s="331"/>
      <c r="H45" s="331"/>
    </row>
    <row r="47" spans="1:8" ht="22" customHeight="1">
      <c r="A47" s="329" t="s">
        <v>367</v>
      </c>
      <c r="B47" s="329"/>
      <c r="C47" s="329"/>
      <c r="D47" s="329"/>
      <c r="E47" s="329"/>
      <c r="F47" s="329"/>
      <c r="G47" s="329"/>
      <c r="H47" s="329"/>
    </row>
    <row r="48" spans="1:8" ht="18" customHeight="1">
      <c r="A48" s="337" t="s">
        <v>368</v>
      </c>
      <c r="B48" s="337"/>
      <c r="C48" s="337"/>
      <c r="D48" s="337"/>
      <c r="E48" s="337"/>
      <c r="F48" s="337"/>
      <c r="G48" s="337"/>
      <c r="H48" s="337"/>
    </row>
    <row r="49" spans="1:8" ht="16" customHeight="1">
      <c r="A49" s="226" t="s">
        <v>369</v>
      </c>
      <c r="B49" s="226" t="s">
        <v>370</v>
      </c>
      <c r="C49" s="330" t="s">
        <v>371</v>
      </c>
      <c r="D49" s="330"/>
      <c r="E49" s="330"/>
      <c r="F49" s="330"/>
      <c r="G49" s="226" t="s">
        <v>372</v>
      </c>
      <c r="H49" s="226" t="s">
        <v>373</v>
      </c>
    </row>
    <row r="50" spans="1:8" ht="36" customHeight="1">
      <c r="A50" s="223" t="s">
        <v>374</v>
      </c>
      <c r="B50" s="234" t="s">
        <v>375</v>
      </c>
      <c r="C50" s="336" t="s">
        <v>376</v>
      </c>
      <c r="D50" s="336"/>
      <c r="E50" s="336"/>
      <c r="F50" s="336"/>
      <c r="G50" s="235" t="s">
        <v>377</v>
      </c>
      <c r="H50" s="223"/>
    </row>
    <row r="51" spans="1:8" ht="36" customHeight="1">
      <c r="A51" s="233" t="s">
        <v>378</v>
      </c>
      <c r="B51" s="236" t="s">
        <v>379</v>
      </c>
      <c r="C51" s="335" t="s">
        <v>380</v>
      </c>
      <c r="D51" s="335"/>
      <c r="E51" s="335"/>
      <c r="F51" s="335"/>
      <c r="G51" s="237" t="s">
        <v>377</v>
      </c>
      <c r="H51" s="233" t="s">
        <v>381</v>
      </c>
    </row>
    <row r="52" spans="1:8" ht="36" customHeight="1">
      <c r="A52" s="223" t="s">
        <v>382</v>
      </c>
      <c r="B52" s="234" t="s">
        <v>383</v>
      </c>
      <c r="C52" s="336" t="s">
        <v>384</v>
      </c>
      <c r="D52" s="336"/>
      <c r="E52" s="336"/>
      <c r="F52" s="336"/>
      <c r="G52" s="235" t="s">
        <v>377</v>
      </c>
      <c r="H52" s="223" t="s">
        <v>385</v>
      </c>
    </row>
    <row r="53" spans="1:8" ht="36" customHeight="1">
      <c r="A53" s="233" t="s">
        <v>386</v>
      </c>
      <c r="B53" s="236" t="s">
        <v>387</v>
      </c>
      <c r="C53" s="335" t="s">
        <v>388</v>
      </c>
      <c r="D53" s="335"/>
      <c r="E53" s="335"/>
      <c r="F53" s="335"/>
      <c r="G53" s="237" t="s">
        <v>377</v>
      </c>
      <c r="H53" s="233"/>
    </row>
    <row r="54" spans="1:8" ht="36" customHeight="1">
      <c r="A54" s="223" t="s">
        <v>389</v>
      </c>
      <c r="B54" s="234" t="s">
        <v>390</v>
      </c>
      <c r="C54" s="336" t="s">
        <v>391</v>
      </c>
      <c r="D54" s="336"/>
      <c r="E54" s="336"/>
      <c r="F54" s="336"/>
      <c r="G54" s="235" t="s">
        <v>377</v>
      </c>
      <c r="H54" s="223"/>
    </row>
    <row r="56" spans="1:8" ht="18" customHeight="1">
      <c r="A56" s="337" t="s">
        <v>392</v>
      </c>
      <c r="B56" s="337"/>
      <c r="C56" s="337"/>
      <c r="D56" s="337"/>
      <c r="E56" s="337"/>
      <c r="F56" s="337"/>
      <c r="G56" s="337"/>
      <c r="H56" s="337"/>
    </row>
    <row r="57" spans="1:8" ht="16" customHeight="1">
      <c r="A57" s="226" t="s">
        <v>369</v>
      </c>
      <c r="B57" s="226" t="s">
        <v>370</v>
      </c>
      <c r="C57" s="330" t="s">
        <v>371</v>
      </c>
      <c r="D57" s="330"/>
      <c r="E57" s="330"/>
      <c r="F57" s="330"/>
      <c r="G57" s="226" t="s">
        <v>372</v>
      </c>
      <c r="H57" s="226" t="s">
        <v>373</v>
      </c>
    </row>
    <row r="58" spans="1:8" ht="36" customHeight="1">
      <c r="A58" s="223" t="s">
        <v>393</v>
      </c>
      <c r="B58" s="234" t="s">
        <v>394</v>
      </c>
      <c r="C58" s="336" t="s">
        <v>395</v>
      </c>
      <c r="D58" s="336"/>
      <c r="E58" s="336"/>
      <c r="F58" s="336"/>
      <c r="G58" s="235" t="s">
        <v>377</v>
      </c>
      <c r="H58" s="223"/>
    </row>
    <row r="59" spans="1:8" ht="36" customHeight="1">
      <c r="A59" s="233" t="s">
        <v>396</v>
      </c>
      <c r="B59" s="236" t="s">
        <v>397</v>
      </c>
      <c r="C59" s="335" t="s">
        <v>398</v>
      </c>
      <c r="D59" s="335"/>
      <c r="E59" s="335"/>
      <c r="F59" s="335"/>
      <c r="G59" s="237" t="s">
        <v>377</v>
      </c>
      <c r="H59" s="233" t="s">
        <v>399</v>
      </c>
    </row>
    <row r="60" spans="1:8" ht="36" customHeight="1">
      <c r="A60" s="223" t="s">
        <v>400</v>
      </c>
      <c r="B60" s="234" t="s">
        <v>401</v>
      </c>
      <c r="C60" s="336" t="s">
        <v>402</v>
      </c>
      <c r="D60" s="336"/>
      <c r="E60" s="336"/>
      <c r="F60" s="336"/>
      <c r="G60" s="235" t="s">
        <v>377</v>
      </c>
      <c r="H60" s="223" t="s">
        <v>403</v>
      </c>
    </row>
    <row r="61" spans="1:8" ht="36" customHeight="1">
      <c r="A61" s="233" t="s">
        <v>404</v>
      </c>
      <c r="B61" s="236" t="s">
        <v>232</v>
      </c>
      <c r="C61" s="335" t="s">
        <v>405</v>
      </c>
      <c r="D61" s="335"/>
      <c r="E61" s="335"/>
      <c r="F61" s="335"/>
      <c r="G61" s="237" t="s">
        <v>377</v>
      </c>
      <c r="H61" s="233" t="s">
        <v>406</v>
      </c>
    </row>
    <row r="62" spans="1:8" ht="36" customHeight="1">
      <c r="A62" s="223" t="s">
        <v>407</v>
      </c>
      <c r="B62" s="234" t="s">
        <v>408</v>
      </c>
      <c r="C62" s="336" t="s">
        <v>409</v>
      </c>
      <c r="D62" s="336"/>
      <c r="E62" s="336"/>
      <c r="F62" s="336"/>
      <c r="G62" s="235" t="s">
        <v>377</v>
      </c>
      <c r="H62" s="223" t="s">
        <v>410</v>
      </c>
    </row>
    <row r="63" spans="1:8" ht="36" customHeight="1">
      <c r="A63" s="233" t="s">
        <v>411</v>
      </c>
      <c r="B63" s="236" t="s">
        <v>412</v>
      </c>
      <c r="C63" s="335" t="s">
        <v>413</v>
      </c>
      <c r="D63" s="335"/>
      <c r="E63" s="335"/>
      <c r="F63" s="335"/>
      <c r="G63" s="237" t="s">
        <v>377</v>
      </c>
      <c r="H63" s="233"/>
    </row>
    <row r="65" spans="1:8" ht="18" customHeight="1">
      <c r="A65" s="337" t="s">
        <v>414</v>
      </c>
      <c r="B65" s="337"/>
      <c r="C65" s="337"/>
      <c r="D65" s="337"/>
      <c r="E65" s="337"/>
      <c r="F65" s="337"/>
      <c r="G65" s="337"/>
      <c r="H65" s="337"/>
    </row>
    <row r="66" spans="1:8" ht="16" customHeight="1">
      <c r="A66" s="226" t="s">
        <v>369</v>
      </c>
      <c r="B66" s="226" t="s">
        <v>370</v>
      </c>
      <c r="C66" s="330" t="s">
        <v>371</v>
      </c>
      <c r="D66" s="330"/>
      <c r="E66" s="330"/>
      <c r="F66" s="330"/>
      <c r="G66" s="226" t="s">
        <v>372</v>
      </c>
      <c r="H66" s="226" t="s">
        <v>373</v>
      </c>
    </row>
    <row r="67" spans="1:8" ht="36" customHeight="1">
      <c r="A67" s="223" t="s">
        <v>415</v>
      </c>
      <c r="B67" s="234" t="s">
        <v>416</v>
      </c>
      <c r="C67" s="336" t="s">
        <v>417</v>
      </c>
      <c r="D67" s="336"/>
      <c r="E67" s="336"/>
      <c r="F67" s="336"/>
      <c r="G67" s="235" t="s">
        <v>377</v>
      </c>
      <c r="H67" s="223" t="s">
        <v>418</v>
      </c>
    </row>
    <row r="68" spans="1:8" ht="36" customHeight="1">
      <c r="A68" s="233" t="s">
        <v>419</v>
      </c>
      <c r="B68" s="236" t="s">
        <v>420</v>
      </c>
      <c r="C68" s="335" t="s">
        <v>421</v>
      </c>
      <c r="D68" s="335"/>
      <c r="E68" s="335"/>
      <c r="F68" s="335"/>
      <c r="G68" s="237" t="s">
        <v>377</v>
      </c>
      <c r="H68" s="233"/>
    </row>
    <row r="69" spans="1:8" ht="36" customHeight="1">
      <c r="A69" s="223" t="s">
        <v>422</v>
      </c>
      <c r="B69" s="234" t="s">
        <v>423</v>
      </c>
      <c r="C69" s="336" t="s">
        <v>424</v>
      </c>
      <c r="D69" s="336"/>
      <c r="E69" s="336"/>
      <c r="F69" s="336"/>
      <c r="G69" s="235" t="s">
        <v>377</v>
      </c>
      <c r="H69" s="223"/>
    </row>
    <row r="70" spans="1:8" ht="36" customHeight="1">
      <c r="A70" s="233" t="s">
        <v>425</v>
      </c>
      <c r="B70" s="236" t="s">
        <v>426</v>
      </c>
      <c r="C70" s="335" t="s">
        <v>427</v>
      </c>
      <c r="D70" s="335"/>
      <c r="E70" s="335"/>
      <c r="F70" s="335"/>
      <c r="G70" s="238" t="s">
        <v>428</v>
      </c>
      <c r="H70" s="233" t="s">
        <v>429</v>
      </c>
    </row>
    <row r="71" spans="1:8" ht="36" customHeight="1">
      <c r="A71" s="223" t="s">
        <v>430</v>
      </c>
      <c r="B71" s="234" t="s">
        <v>431</v>
      </c>
      <c r="C71" s="336" t="s">
        <v>432</v>
      </c>
      <c r="D71" s="336"/>
      <c r="E71" s="336"/>
      <c r="F71" s="336"/>
      <c r="G71" s="235" t="s">
        <v>377</v>
      </c>
      <c r="H71" s="223"/>
    </row>
    <row r="72" spans="1:8" ht="36" customHeight="1">
      <c r="A72" s="233" t="s">
        <v>433</v>
      </c>
      <c r="B72" s="236" t="s">
        <v>434</v>
      </c>
      <c r="C72" s="335" t="s">
        <v>435</v>
      </c>
      <c r="D72" s="335"/>
      <c r="E72" s="335"/>
      <c r="F72" s="335"/>
      <c r="G72" s="237" t="s">
        <v>377</v>
      </c>
      <c r="H72" s="233"/>
    </row>
    <row r="73" spans="1:8" ht="36" customHeight="1">
      <c r="A73" s="223" t="s">
        <v>436</v>
      </c>
      <c r="B73" s="234" t="s">
        <v>437</v>
      </c>
      <c r="C73" s="336" t="s">
        <v>438</v>
      </c>
      <c r="D73" s="336"/>
      <c r="E73" s="336"/>
      <c r="F73" s="336"/>
      <c r="G73" s="235" t="s">
        <v>377</v>
      </c>
      <c r="H73" s="223"/>
    </row>
    <row r="75" spans="1:8" ht="18" customHeight="1">
      <c r="A75" s="337" t="s">
        <v>439</v>
      </c>
      <c r="B75" s="337"/>
      <c r="C75" s="337"/>
      <c r="D75" s="337"/>
      <c r="E75" s="337"/>
      <c r="F75" s="337"/>
      <c r="G75" s="337"/>
      <c r="H75" s="337"/>
    </row>
    <row r="76" spans="1:8" ht="16" customHeight="1">
      <c r="A76" s="226" t="s">
        <v>369</v>
      </c>
      <c r="B76" s="226" t="s">
        <v>370</v>
      </c>
      <c r="C76" s="330" t="s">
        <v>371</v>
      </c>
      <c r="D76" s="330"/>
      <c r="E76" s="330"/>
      <c r="F76" s="330"/>
      <c r="G76" s="226" t="s">
        <v>372</v>
      </c>
      <c r="H76" s="226" t="s">
        <v>373</v>
      </c>
    </row>
    <row r="77" spans="1:8" ht="36" customHeight="1">
      <c r="A77" s="223" t="s">
        <v>440</v>
      </c>
      <c r="B77" s="234" t="s">
        <v>441</v>
      </c>
      <c r="C77" s="336" t="s">
        <v>442</v>
      </c>
      <c r="D77" s="336"/>
      <c r="E77" s="336"/>
      <c r="F77" s="336"/>
      <c r="G77" s="235" t="s">
        <v>377</v>
      </c>
      <c r="H77" s="223"/>
    </row>
    <row r="78" spans="1:8" ht="36" customHeight="1">
      <c r="A78" s="233" t="s">
        <v>443</v>
      </c>
      <c r="B78" s="236" t="s">
        <v>444</v>
      </c>
      <c r="C78" s="335" t="s">
        <v>445</v>
      </c>
      <c r="D78" s="335"/>
      <c r="E78" s="335"/>
      <c r="F78" s="335"/>
      <c r="G78" s="237" t="s">
        <v>377</v>
      </c>
      <c r="H78" s="233"/>
    </row>
    <row r="79" spans="1:8" ht="36" customHeight="1">
      <c r="A79" s="223" t="s">
        <v>446</v>
      </c>
      <c r="B79" s="234" t="s">
        <v>447</v>
      </c>
      <c r="C79" s="336" t="s">
        <v>448</v>
      </c>
      <c r="D79" s="336"/>
      <c r="E79" s="336"/>
      <c r="F79" s="336"/>
      <c r="G79" s="235" t="s">
        <v>377</v>
      </c>
      <c r="H79" s="223" t="s">
        <v>449</v>
      </c>
    </row>
    <row r="80" spans="1:8" ht="36" customHeight="1">
      <c r="A80" s="233" t="s">
        <v>450</v>
      </c>
      <c r="B80" s="236" t="s">
        <v>451</v>
      </c>
      <c r="C80" s="335" t="s">
        <v>452</v>
      </c>
      <c r="D80" s="335"/>
      <c r="E80" s="335"/>
      <c r="F80" s="335"/>
      <c r="G80" s="237" t="s">
        <v>377</v>
      </c>
      <c r="H80" s="233"/>
    </row>
    <row r="81" spans="1:8" ht="36" customHeight="1">
      <c r="A81" s="223" t="s">
        <v>453</v>
      </c>
      <c r="B81" s="234" t="s">
        <v>454</v>
      </c>
      <c r="C81" s="336" t="s">
        <v>455</v>
      </c>
      <c r="D81" s="336"/>
      <c r="E81" s="336"/>
      <c r="F81" s="336"/>
      <c r="G81" s="235" t="s">
        <v>377</v>
      </c>
      <c r="H81" s="223"/>
    </row>
    <row r="83" spans="1:8" ht="18" customHeight="1">
      <c r="A83" s="337" t="s">
        <v>456</v>
      </c>
      <c r="B83" s="337"/>
      <c r="C83" s="337"/>
      <c r="D83" s="337"/>
      <c r="E83" s="337"/>
      <c r="F83" s="337"/>
      <c r="G83" s="337"/>
      <c r="H83" s="337"/>
    </row>
    <row r="84" spans="1:8" ht="16" customHeight="1">
      <c r="A84" s="226" t="s">
        <v>369</v>
      </c>
      <c r="B84" s="226" t="s">
        <v>370</v>
      </c>
      <c r="C84" s="330" t="s">
        <v>371</v>
      </c>
      <c r="D84" s="330"/>
      <c r="E84" s="330"/>
      <c r="F84" s="330"/>
      <c r="G84" s="226" t="s">
        <v>372</v>
      </c>
      <c r="H84" s="226" t="s">
        <v>373</v>
      </c>
    </row>
    <row r="85" spans="1:8" ht="36" customHeight="1">
      <c r="A85" s="223" t="s">
        <v>457</v>
      </c>
      <c r="B85" s="234" t="s">
        <v>458</v>
      </c>
      <c r="C85" s="336" t="s">
        <v>459</v>
      </c>
      <c r="D85" s="336"/>
      <c r="E85" s="336"/>
      <c r="F85" s="336"/>
      <c r="G85" s="235" t="s">
        <v>377</v>
      </c>
      <c r="H85" s="223"/>
    </row>
    <row r="86" spans="1:8" ht="36" customHeight="1">
      <c r="A86" s="233" t="s">
        <v>460</v>
      </c>
      <c r="B86" s="236" t="s">
        <v>461</v>
      </c>
      <c r="C86" s="335" t="s">
        <v>462</v>
      </c>
      <c r="D86" s="335"/>
      <c r="E86" s="335"/>
      <c r="F86" s="335"/>
      <c r="G86" s="237" t="s">
        <v>377</v>
      </c>
      <c r="H86" s="233"/>
    </row>
    <row r="87" spans="1:8" ht="36" customHeight="1">
      <c r="A87" s="223" t="s">
        <v>463</v>
      </c>
      <c r="B87" s="234" t="s">
        <v>464</v>
      </c>
      <c r="C87" s="336" t="s">
        <v>465</v>
      </c>
      <c r="D87" s="336"/>
      <c r="E87" s="336"/>
      <c r="F87" s="336"/>
      <c r="G87" s="235" t="s">
        <v>377</v>
      </c>
      <c r="H87" s="223"/>
    </row>
    <row r="88" spans="1:8" ht="36" customHeight="1">
      <c r="A88" s="233" t="s">
        <v>466</v>
      </c>
      <c r="B88" s="236" t="s">
        <v>467</v>
      </c>
      <c r="C88" s="335" t="s">
        <v>468</v>
      </c>
      <c r="D88" s="335"/>
      <c r="E88" s="335"/>
      <c r="F88" s="335"/>
      <c r="G88" s="237" t="s">
        <v>377</v>
      </c>
      <c r="H88" s="233"/>
    </row>
    <row r="89" spans="1:8" ht="36" customHeight="1">
      <c r="A89" s="223" t="s">
        <v>469</v>
      </c>
      <c r="B89" s="234" t="s">
        <v>470</v>
      </c>
      <c r="C89" s="336" t="s">
        <v>471</v>
      </c>
      <c r="D89" s="336"/>
      <c r="E89" s="336"/>
      <c r="F89" s="336"/>
      <c r="G89" s="235" t="s">
        <v>377</v>
      </c>
      <c r="H89" s="223"/>
    </row>
    <row r="90" spans="1:8" ht="36" customHeight="1">
      <c r="A90" s="233" t="s">
        <v>472</v>
      </c>
      <c r="B90" s="236" t="s">
        <v>473</v>
      </c>
      <c r="C90" s="335" t="s">
        <v>474</v>
      </c>
      <c r="D90" s="335"/>
      <c r="E90" s="335"/>
      <c r="F90" s="335"/>
      <c r="G90" s="237" t="s">
        <v>377</v>
      </c>
      <c r="H90" s="233"/>
    </row>
    <row r="91" spans="1:8" ht="36" customHeight="1">
      <c r="A91" s="223" t="s">
        <v>475</v>
      </c>
      <c r="B91" s="234" t="s">
        <v>476</v>
      </c>
      <c r="C91" s="336" t="s">
        <v>477</v>
      </c>
      <c r="D91" s="336"/>
      <c r="E91" s="336"/>
      <c r="F91" s="336"/>
      <c r="G91" s="235" t="s">
        <v>377</v>
      </c>
      <c r="H91" s="223"/>
    </row>
    <row r="92" spans="1:8" ht="36" customHeight="1">
      <c r="A92" s="233" t="s">
        <v>478</v>
      </c>
      <c r="B92" s="236" t="s">
        <v>479</v>
      </c>
      <c r="C92" s="335" t="s">
        <v>480</v>
      </c>
      <c r="D92" s="335"/>
      <c r="E92" s="335"/>
      <c r="F92" s="335"/>
      <c r="G92" s="237" t="s">
        <v>377</v>
      </c>
      <c r="H92" s="233"/>
    </row>
    <row r="93" spans="1:8" ht="36" customHeight="1">
      <c r="A93" s="223" t="s">
        <v>481</v>
      </c>
      <c r="B93" s="234" t="s">
        <v>482</v>
      </c>
      <c r="C93" s="336" t="s">
        <v>483</v>
      </c>
      <c r="D93" s="336"/>
      <c r="E93" s="336"/>
      <c r="F93" s="336"/>
      <c r="G93" s="235" t="s">
        <v>377</v>
      </c>
      <c r="H93" s="223"/>
    </row>
    <row r="95" spans="1:8" ht="22" customHeight="1">
      <c r="A95" s="329" t="s">
        <v>484</v>
      </c>
      <c r="B95" s="329"/>
      <c r="C95" s="329"/>
      <c r="D95" s="329"/>
      <c r="E95" s="329"/>
      <c r="F95" s="329"/>
      <c r="G95" s="329"/>
      <c r="H95" s="329"/>
    </row>
    <row r="96" spans="1:8" ht="18" customHeight="1">
      <c r="A96" s="337" t="s">
        <v>485</v>
      </c>
      <c r="B96" s="337"/>
      <c r="C96" s="337"/>
      <c r="D96" s="337"/>
      <c r="E96" s="337"/>
      <c r="F96" s="337"/>
      <c r="G96" s="337"/>
      <c r="H96" s="337"/>
    </row>
    <row r="97" spans="1:8" ht="16" customHeight="1">
      <c r="A97" s="226" t="s">
        <v>486</v>
      </c>
      <c r="B97" s="330" t="s">
        <v>487</v>
      </c>
      <c r="C97" s="330"/>
      <c r="D97" s="330"/>
      <c r="E97" s="330"/>
      <c r="F97" s="330"/>
      <c r="G97" s="330"/>
      <c r="H97" s="330"/>
    </row>
    <row r="98" spans="1:8" ht="28" customHeight="1">
      <c r="A98" s="239" t="s">
        <v>488</v>
      </c>
      <c r="B98" s="336" t="s">
        <v>489</v>
      </c>
      <c r="C98" s="336"/>
      <c r="D98" s="336"/>
      <c r="E98" s="336"/>
      <c r="F98" s="336"/>
      <c r="G98" s="336"/>
      <c r="H98" s="336"/>
    </row>
    <row r="99" spans="1:8" ht="28" customHeight="1">
      <c r="A99" s="240" t="s">
        <v>490</v>
      </c>
      <c r="B99" s="335" t="s">
        <v>491</v>
      </c>
      <c r="C99" s="335"/>
      <c r="D99" s="335"/>
      <c r="E99" s="335"/>
      <c r="F99" s="335"/>
      <c r="G99" s="335"/>
      <c r="H99" s="335"/>
    </row>
    <row r="100" spans="1:8" ht="28" customHeight="1">
      <c r="A100" s="239" t="s">
        <v>902</v>
      </c>
      <c r="B100" s="336" t="s">
        <v>903</v>
      </c>
      <c r="C100" s="336"/>
      <c r="D100" s="336"/>
      <c r="E100" s="336"/>
      <c r="F100" s="336"/>
      <c r="G100" s="336"/>
      <c r="H100" s="336"/>
    </row>
    <row r="101" spans="1:8" ht="28" customHeight="1">
      <c r="A101" s="240" t="s">
        <v>492</v>
      </c>
      <c r="B101" s="335" t="s">
        <v>493</v>
      </c>
      <c r="C101" s="335"/>
      <c r="D101" s="335"/>
      <c r="E101" s="335"/>
      <c r="F101" s="335"/>
      <c r="G101" s="335"/>
      <c r="H101" s="335"/>
    </row>
    <row r="102" spans="1:8" ht="28" customHeight="1">
      <c r="A102" s="239" t="s">
        <v>494</v>
      </c>
      <c r="B102" s="336" t="s">
        <v>495</v>
      </c>
      <c r="C102" s="336"/>
      <c r="D102" s="336"/>
      <c r="E102" s="336"/>
      <c r="F102" s="336"/>
      <c r="G102" s="336"/>
      <c r="H102" s="336"/>
    </row>
    <row r="103" spans="1:8" ht="28" customHeight="1">
      <c r="A103" s="240" t="s">
        <v>496</v>
      </c>
      <c r="B103" s="335" t="s">
        <v>497</v>
      </c>
      <c r="C103" s="335"/>
      <c r="D103" s="335"/>
      <c r="E103" s="335"/>
      <c r="F103" s="335"/>
      <c r="G103" s="335"/>
      <c r="H103" s="335"/>
    </row>
    <row r="104" spans="1:8" ht="28" customHeight="1">
      <c r="A104" s="239" t="s">
        <v>498</v>
      </c>
      <c r="B104" s="336" t="s">
        <v>499</v>
      </c>
      <c r="C104" s="336"/>
      <c r="D104" s="336"/>
      <c r="E104" s="336"/>
      <c r="F104" s="336"/>
      <c r="G104" s="336"/>
      <c r="H104" s="336"/>
    </row>
    <row r="105" spans="1:8" ht="28" customHeight="1">
      <c r="A105" s="240" t="s">
        <v>500</v>
      </c>
      <c r="B105" s="335" t="s">
        <v>501</v>
      </c>
      <c r="C105" s="335"/>
      <c r="D105" s="335"/>
      <c r="E105" s="335"/>
      <c r="F105" s="335"/>
      <c r="G105" s="335"/>
      <c r="H105" s="335"/>
    </row>
    <row r="106" spans="1:8" ht="28" customHeight="1">
      <c r="A106" s="239" t="s">
        <v>502</v>
      </c>
      <c r="B106" s="336" t="s">
        <v>503</v>
      </c>
      <c r="C106" s="336"/>
      <c r="D106" s="336"/>
      <c r="E106" s="336"/>
      <c r="F106" s="336"/>
      <c r="G106" s="336"/>
      <c r="H106" s="336"/>
    </row>
    <row r="108" spans="1:8" ht="22" customHeight="1">
      <c r="A108" s="329" t="s">
        <v>504</v>
      </c>
      <c r="B108" s="329"/>
      <c r="C108" s="329"/>
      <c r="D108" s="329"/>
      <c r="E108" s="329"/>
      <c r="F108" s="329"/>
      <c r="G108" s="329"/>
      <c r="H108" s="329"/>
    </row>
    <row r="109" spans="1:8" ht="16" customHeight="1">
      <c r="A109" s="226" t="s">
        <v>505</v>
      </c>
      <c r="B109" s="330" t="s">
        <v>506</v>
      </c>
      <c r="C109" s="330"/>
      <c r="D109" s="330"/>
      <c r="E109" s="330"/>
      <c r="F109" s="330"/>
      <c r="G109" s="330"/>
      <c r="H109" s="330"/>
    </row>
    <row r="110" spans="1:8" ht="28" customHeight="1">
      <c r="A110" s="239" t="s">
        <v>507</v>
      </c>
      <c r="B110" s="336" t="s">
        <v>904</v>
      </c>
      <c r="C110" s="336"/>
      <c r="D110" s="336"/>
      <c r="E110" s="336"/>
      <c r="F110" s="336"/>
      <c r="G110" s="336"/>
      <c r="H110" s="336"/>
    </row>
    <row r="111" spans="1:8" ht="28" customHeight="1">
      <c r="A111" s="240" t="s">
        <v>508</v>
      </c>
      <c r="B111" s="335" t="s">
        <v>509</v>
      </c>
      <c r="C111" s="335"/>
      <c r="D111" s="335"/>
      <c r="E111" s="335"/>
      <c r="F111" s="335"/>
      <c r="G111" s="335"/>
      <c r="H111" s="335"/>
    </row>
    <row r="112" spans="1:8" ht="28" customHeight="1">
      <c r="A112" s="239" t="s">
        <v>510</v>
      </c>
      <c r="B112" s="336" t="s">
        <v>511</v>
      </c>
      <c r="C112" s="336"/>
      <c r="D112" s="336"/>
      <c r="E112" s="336"/>
      <c r="F112" s="336"/>
      <c r="G112" s="336"/>
      <c r="H112" s="336"/>
    </row>
    <row r="113" spans="1:8" ht="28" customHeight="1">
      <c r="A113" s="240" t="s">
        <v>512</v>
      </c>
      <c r="B113" s="335" t="s">
        <v>513</v>
      </c>
      <c r="C113" s="335"/>
      <c r="D113" s="335"/>
      <c r="E113" s="335"/>
      <c r="F113" s="335"/>
      <c r="G113" s="335"/>
      <c r="H113" s="335"/>
    </row>
    <row r="114" spans="1:8" ht="28" customHeight="1">
      <c r="A114" s="239" t="s">
        <v>514</v>
      </c>
      <c r="B114" s="336" t="s">
        <v>515</v>
      </c>
      <c r="C114" s="336"/>
      <c r="D114" s="336"/>
      <c r="E114" s="336"/>
      <c r="F114" s="336"/>
      <c r="G114" s="336"/>
      <c r="H114" s="336"/>
    </row>
    <row r="115" spans="1:8" ht="28" customHeight="1">
      <c r="A115" s="240" t="s">
        <v>516</v>
      </c>
      <c r="B115" s="335" t="s">
        <v>517</v>
      </c>
      <c r="C115" s="335"/>
      <c r="D115" s="335"/>
      <c r="E115" s="335"/>
      <c r="F115" s="335"/>
      <c r="G115" s="335"/>
      <c r="H115" s="335"/>
    </row>
    <row r="116" spans="1:8" ht="28" customHeight="1">
      <c r="A116" s="239" t="s">
        <v>518</v>
      </c>
      <c r="B116" s="336" t="s">
        <v>519</v>
      </c>
      <c r="C116" s="336"/>
      <c r="D116" s="336"/>
      <c r="E116" s="336"/>
      <c r="F116" s="336"/>
      <c r="G116" s="336"/>
      <c r="H116" s="336"/>
    </row>
    <row r="117" spans="1:8" ht="28" customHeight="1">
      <c r="A117" s="240" t="s">
        <v>520</v>
      </c>
      <c r="B117" s="335" t="s">
        <v>521</v>
      </c>
      <c r="C117" s="335"/>
      <c r="D117" s="335"/>
      <c r="E117" s="335"/>
      <c r="F117" s="335"/>
      <c r="G117" s="335"/>
      <c r="H117" s="335"/>
    </row>
    <row r="118" spans="1:8" ht="28" customHeight="1">
      <c r="A118" s="239" t="s">
        <v>522</v>
      </c>
      <c r="B118" s="336" t="s">
        <v>523</v>
      </c>
      <c r="C118" s="336"/>
      <c r="D118" s="336"/>
      <c r="E118" s="336"/>
      <c r="F118" s="336"/>
      <c r="G118" s="336"/>
      <c r="H118" s="336"/>
    </row>
    <row r="119" spans="1:8" ht="28" customHeight="1">
      <c r="A119" s="240" t="s">
        <v>524</v>
      </c>
      <c r="B119" s="335" t="s">
        <v>525</v>
      </c>
      <c r="C119" s="335"/>
      <c r="D119" s="335"/>
      <c r="E119" s="335"/>
      <c r="F119" s="335"/>
      <c r="G119" s="335"/>
      <c r="H119" s="335"/>
    </row>
    <row r="121" spans="1:8" ht="22" customHeight="1">
      <c r="A121" s="329" t="s">
        <v>526</v>
      </c>
      <c r="B121" s="329"/>
      <c r="C121" s="329"/>
      <c r="D121" s="329"/>
      <c r="E121" s="329"/>
      <c r="F121" s="329"/>
      <c r="G121" s="329"/>
      <c r="H121" s="329"/>
    </row>
    <row r="122" spans="1:8" ht="16" customHeight="1">
      <c r="A122" s="226" t="s">
        <v>197</v>
      </c>
      <c r="B122" s="330" t="s">
        <v>370</v>
      </c>
      <c r="C122" s="330"/>
      <c r="D122" s="330"/>
      <c r="E122" s="330"/>
      <c r="F122" s="330"/>
      <c r="G122" s="330"/>
      <c r="H122" s="330"/>
    </row>
    <row r="123" spans="1:8" ht="20" customHeight="1">
      <c r="A123" s="239" t="s">
        <v>527</v>
      </c>
      <c r="B123" s="336" t="s">
        <v>528</v>
      </c>
      <c r="C123" s="336"/>
      <c r="D123" s="336"/>
      <c r="E123" s="336"/>
      <c r="F123" s="336"/>
      <c r="G123" s="336"/>
      <c r="H123" s="336"/>
    </row>
    <row r="124" spans="1:8" ht="20" customHeight="1">
      <c r="A124" s="240" t="s">
        <v>529</v>
      </c>
      <c r="B124" s="335" t="s">
        <v>530</v>
      </c>
      <c r="C124" s="335"/>
      <c r="D124" s="335"/>
      <c r="E124" s="335"/>
      <c r="F124" s="335"/>
      <c r="G124" s="335"/>
      <c r="H124" s="335"/>
    </row>
    <row r="125" spans="1:8" ht="20" customHeight="1">
      <c r="A125" s="239" t="s">
        <v>531</v>
      </c>
      <c r="B125" s="336" t="s">
        <v>532</v>
      </c>
      <c r="C125" s="336"/>
      <c r="D125" s="336"/>
      <c r="E125" s="336"/>
      <c r="F125" s="336"/>
      <c r="G125" s="336"/>
      <c r="H125" s="336"/>
    </row>
    <row r="126" spans="1:8" ht="20" customHeight="1">
      <c r="A126" s="240" t="s">
        <v>533</v>
      </c>
      <c r="B126" s="335" t="s">
        <v>534</v>
      </c>
      <c r="C126" s="335"/>
      <c r="D126" s="335"/>
      <c r="E126" s="335"/>
      <c r="F126" s="335"/>
      <c r="G126" s="335"/>
      <c r="H126" s="335"/>
    </row>
    <row r="127" spans="1:8" ht="20" customHeight="1">
      <c r="A127" s="239" t="s">
        <v>535</v>
      </c>
      <c r="B127" s="336" t="s">
        <v>536</v>
      </c>
      <c r="C127" s="336"/>
      <c r="D127" s="336"/>
      <c r="E127" s="336"/>
      <c r="F127" s="336"/>
      <c r="G127" s="336"/>
      <c r="H127" s="336"/>
    </row>
    <row r="128" spans="1:8" ht="20" customHeight="1">
      <c r="A128" s="240" t="s">
        <v>537</v>
      </c>
      <c r="B128" s="335" t="s">
        <v>538</v>
      </c>
      <c r="C128" s="335"/>
      <c r="D128" s="335"/>
      <c r="E128" s="335"/>
      <c r="F128" s="335"/>
      <c r="G128" s="335"/>
      <c r="H128" s="335"/>
    </row>
    <row r="129" spans="1:8" ht="20" customHeight="1">
      <c r="A129" s="239" t="s">
        <v>539</v>
      </c>
      <c r="B129" s="336" t="s">
        <v>540</v>
      </c>
      <c r="C129" s="336"/>
      <c r="D129" s="336"/>
      <c r="E129" s="336"/>
      <c r="F129" s="336"/>
      <c r="G129" s="336"/>
      <c r="H129" s="336"/>
    </row>
    <row r="131" spans="1:8" ht="22" customHeight="1">
      <c r="A131" s="329" t="s">
        <v>541</v>
      </c>
      <c r="B131" s="329"/>
      <c r="C131" s="329"/>
      <c r="D131" s="329"/>
      <c r="E131" s="329"/>
      <c r="F131" s="329"/>
      <c r="G131" s="329"/>
      <c r="H131" s="329"/>
    </row>
    <row r="132" spans="1:8" ht="16" customHeight="1">
      <c r="A132" s="226" t="s">
        <v>542</v>
      </c>
      <c r="B132" s="226" t="s">
        <v>543</v>
      </c>
      <c r="C132" s="226" t="s">
        <v>544</v>
      </c>
      <c r="D132" s="330" t="s">
        <v>545</v>
      </c>
      <c r="E132" s="330"/>
      <c r="F132" s="330"/>
      <c r="G132" s="330"/>
      <c r="H132" s="330"/>
    </row>
    <row r="133" spans="1:8" ht="44" customHeight="1">
      <c r="A133" s="234">
        <v>1</v>
      </c>
      <c r="B133" s="239" t="s">
        <v>546</v>
      </c>
      <c r="C133" s="223" t="s">
        <v>358</v>
      </c>
      <c r="D133" s="336" t="s">
        <v>905</v>
      </c>
      <c r="E133" s="336"/>
      <c r="F133" s="336"/>
      <c r="G133" s="336"/>
      <c r="H133" s="336"/>
    </row>
    <row r="134" spans="1:8" ht="44" customHeight="1">
      <c r="A134" s="236">
        <v>2</v>
      </c>
      <c r="B134" s="240" t="s">
        <v>547</v>
      </c>
      <c r="C134" s="233" t="s">
        <v>548</v>
      </c>
      <c r="D134" s="335" t="s">
        <v>549</v>
      </c>
      <c r="E134" s="335"/>
      <c r="F134" s="335"/>
      <c r="G134" s="335"/>
      <c r="H134" s="335"/>
    </row>
    <row r="135" spans="1:8" ht="44" customHeight="1">
      <c r="A135" s="234">
        <v>3</v>
      </c>
      <c r="B135" s="239" t="s">
        <v>550</v>
      </c>
      <c r="C135" s="223" t="s">
        <v>548</v>
      </c>
      <c r="D135" s="336" t="s">
        <v>551</v>
      </c>
      <c r="E135" s="336"/>
      <c r="F135" s="336"/>
      <c r="G135" s="336"/>
      <c r="H135" s="336"/>
    </row>
    <row r="136" spans="1:8" ht="44" customHeight="1">
      <c r="A136" s="236">
        <v>4</v>
      </c>
      <c r="B136" s="240" t="s">
        <v>552</v>
      </c>
      <c r="C136" s="233" t="s">
        <v>548</v>
      </c>
      <c r="D136" s="335" t="s">
        <v>553</v>
      </c>
      <c r="E136" s="335"/>
      <c r="F136" s="335"/>
      <c r="G136" s="335"/>
      <c r="H136" s="335"/>
    </row>
    <row r="137" spans="1:8" ht="44" customHeight="1">
      <c r="A137" s="234">
        <v>5</v>
      </c>
      <c r="B137" s="239" t="s">
        <v>514</v>
      </c>
      <c r="C137" s="223" t="s">
        <v>548</v>
      </c>
      <c r="D137" s="336" t="s">
        <v>554</v>
      </c>
      <c r="E137" s="336"/>
      <c r="F137" s="336"/>
      <c r="G137" s="336"/>
      <c r="H137" s="336"/>
    </row>
    <row r="138" spans="1:8" ht="44" customHeight="1">
      <c r="A138" s="236">
        <v>6</v>
      </c>
      <c r="B138" s="240" t="s">
        <v>555</v>
      </c>
      <c r="C138" s="233" t="s">
        <v>548</v>
      </c>
      <c r="D138" s="335" t="s">
        <v>556</v>
      </c>
      <c r="E138" s="335"/>
      <c r="F138" s="335"/>
      <c r="G138" s="335"/>
      <c r="H138" s="335"/>
    </row>
    <row r="139" spans="1:8" ht="44" customHeight="1">
      <c r="A139" s="234">
        <v>7</v>
      </c>
      <c r="B139" s="239" t="s">
        <v>557</v>
      </c>
      <c r="C139" s="223" t="s">
        <v>548</v>
      </c>
      <c r="D139" s="336" t="s">
        <v>558</v>
      </c>
      <c r="E139" s="336"/>
      <c r="F139" s="336"/>
      <c r="G139" s="336"/>
      <c r="H139" s="336"/>
    </row>
    <row r="140" spans="1:8" ht="44" customHeight="1">
      <c r="A140" s="236">
        <v>8</v>
      </c>
      <c r="B140" s="240" t="s">
        <v>559</v>
      </c>
      <c r="C140" s="233" t="s">
        <v>548</v>
      </c>
      <c r="D140" s="335" t="s">
        <v>560</v>
      </c>
      <c r="E140" s="335"/>
      <c r="F140" s="335"/>
      <c r="G140" s="335"/>
      <c r="H140" s="335"/>
    </row>
    <row r="142" spans="1:8" ht="22" customHeight="1">
      <c r="A142" s="329" t="s">
        <v>561</v>
      </c>
      <c r="B142" s="329"/>
      <c r="C142" s="329"/>
      <c r="D142" s="329"/>
      <c r="E142" s="329"/>
      <c r="F142" s="329"/>
      <c r="G142" s="329"/>
      <c r="H142" s="329"/>
    </row>
    <row r="143" spans="1:8" ht="22" customHeight="1">
      <c r="A143" s="334" t="s">
        <v>562</v>
      </c>
      <c r="B143" s="334"/>
      <c r="C143" s="334"/>
      <c r="D143" s="334"/>
      <c r="E143" s="334"/>
      <c r="F143" s="334"/>
      <c r="G143" s="334"/>
      <c r="H143" s="334"/>
    </row>
    <row r="144" spans="1:8" ht="16" customHeight="1">
      <c r="A144" s="226" t="s">
        <v>563</v>
      </c>
      <c r="B144" s="330" t="s">
        <v>564</v>
      </c>
      <c r="C144" s="330"/>
      <c r="D144" s="330"/>
      <c r="E144" s="330"/>
      <c r="F144" s="330"/>
      <c r="G144" s="330"/>
      <c r="H144" s="330"/>
    </row>
    <row r="145" spans="1:8" ht="18" customHeight="1">
      <c r="A145" s="241" t="s">
        <v>565</v>
      </c>
      <c r="B145" s="333" t="s">
        <v>566</v>
      </c>
      <c r="C145" s="333"/>
      <c r="D145" s="333"/>
      <c r="E145" s="333"/>
      <c r="F145" s="333"/>
      <c r="G145" s="333"/>
      <c r="H145" s="333"/>
    </row>
    <row r="146" spans="1:8" ht="18" customHeight="1">
      <c r="A146" s="229" t="s">
        <v>567</v>
      </c>
      <c r="B146" s="331" t="s">
        <v>568</v>
      </c>
      <c r="C146" s="331"/>
      <c r="D146" s="331"/>
      <c r="E146" s="331"/>
      <c r="F146" s="331"/>
      <c r="G146" s="331"/>
      <c r="H146" s="331"/>
    </row>
    <row r="147" spans="1:8" ht="18" customHeight="1">
      <c r="A147" s="241" t="s">
        <v>569</v>
      </c>
      <c r="B147" s="333" t="s">
        <v>570</v>
      </c>
      <c r="C147" s="333"/>
      <c r="D147" s="333"/>
      <c r="E147" s="333"/>
      <c r="F147" s="333"/>
      <c r="G147" s="333"/>
      <c r="H147" s="333"/>
    </row>
    <row r="148" spans="1:8" ht="18" customHeight="1">
      <c r="A148" s="229" t="s">
        <v>571</v>
      </c>
      <c r="B148" s="331" t="s">
        <v>572</v>
      </c>
      <c r="C148" s="331"/>
      <c r="D148" s="331"/>
      <c r="E148" s="331"/>
      <c r="F148" s="331"/>
      <c r="G148" s="331"/>
      <c r="H148" s="331"/>
    </row>
    <row r="149" spans="1:8" ht="18" customHeight="1">
      <c r="A149" s="241" t="s">
        <v>573</v>
      </c>
      <c r="B149" s="333" t="s">
        <v>574</v>
      </c>
      <c r="C149" s="333"/>
      <c r="D149" s="333"/>
      <c r="E149" s="333"/>
      <c r="F149" s="333"/>
      <c r="G149" s="333"/>
      <c r="H149" s="333"/>
    </row>
    <row r="150" spans="1:8" ht="18" customHeight="1">
      <c r="A150" s="229" t="s">
        <v>575</v>
      </c>
      <c r="B150" s="331" t="s">
        <v>576</v>
      </c>
      <c r="C150" s="331"/>
      <c r="D150" s="331"/>
      <c r="E150" s="331"/>
      <c r="F150" s="331"/>
      <c r="G150" s="331"/>
      <c r="H150" s="331"/>
    </row>
    <row r="151" spans="1:8" ht="18" customHeight="1">
      <c r="A151" s="241" t="s">
        <v>577</v>
      </c>
      <c r="B151" s="333" t="s">
        <v>578</v>
      </c>
      <c r="C151" s="333"/>
      <c r="D151" s="333"/>
      <c r="E151" s="333"/>
      <c r="F151" s="333"/>
      <c r="G151" s="333"/>
      <c r="H151" s="333"/>
    </row>
    <row r="152" spans="1:8" ht="18" customHeight="1">
      <c r="A152" s="229" t="s">
        <v>579</v>
      </c>
      <c r="B152" s="331" t="s">
        <v>580</v>
      </c>
      <c r="C152" s="331"/>
      <c r="D152" s="331"/>
      <c r="E152" s="331"/>
      <c r="F152" s="331"/>
      <c r="G152" s="331"/>
      <c r="H152" s="331"/>
    </row>
    <row r="153" spans="1:8" ht="18" customHeight="1">
      <c r="A153" s="241" t="s">
        <v>581</v>
      </c>
      <c r="B153" s="333" t="s">
        <v>582</v>
      </c>
      <c r="C153" s="333"/>
      <c r="D153" s="333"/>
      <c r="E153" s="333"/>
      <c r="F153" s="333"/>
      <c r="G153" s="333"/>
      <c r="H153" s="333"/>
    </row>
    <row r="154" spans="1:8" ht="18" customHeight="1">
      <c r="A154" s="229" t="s">
        <v>583</v>
      </c>
      <c r="B154" s="331" t="s">
        <v>584</v>
      </c>
      <c r="C154" s="331"/>
      <c r="D154" s="331"/>
      <c r="E154" s="331"/>
      <c r="F154" s="331"/>
      <c r="G154" s="331"/>
      <c r="H154" s="331"/>
    </row>
    <row r="155" spans="1:8" ht="18" customHeight="1">
      <c r="A155" s="241" t="s">
        <v>585</v>
      </c>
      <c r="B155" s="333" t="s">
        <v>586</v>
      </c>
      <c r="C155" s="333"/>
      <c r="D155" s="333"/>
      <c r="E155" s="333"/>
      <c r="F155" s="333"/>
      <c r="G155" s="333"/>
      <c r="H155" s="333"/>
    </row>
    <row r="157" spans="1:8" ht="22" customHeight="1">
      <c r="A157" s="329" t="s">
        <v>587</v>
      </c>
      <c r="B157" s="329"/>
      <c r="C157" s="329"/>
      <c r="D157" s="329"/>
      <c r="E157" s="329"/>
      <c r="F157" s="329"/>
      <c r="G157" s="329"/>
      <c r="H157" s="329"/>
    </row>
    <row r="158" spans="1:8" ht="16" customHeight="1">
      <c r="A158" s="226" t="s">
        <v>588</v>
      </c>
      <c r="B158" s="226" t="s">
        <v>589</v>
      </c>
      <c r="C158" s="226" t="s">
        <v>590</v>
      </c>
      <c r="D158" s="330" t="s">
        <v>591</v>
      </c>
      <c r="E158" s="330"/>
      <c r="F158" s="330"/>
      <c r="G158" s="330"/>
      <c r="H158" s="330"/>
    </row>
    <row r="159" spans="1:8" ht="20" customHeight="1">
      <c r="A159" s="224" t="s">
        <v>592</v>
      </c>
      <c r="B159" s="227" t="s">
        <v>593</v>
      </c>
      <c r="C159" s="227" t="s">
        <v>594</v>
      </c>
      <c r="D159" s="332" t="s">
        <v>595</v>
      </c>
      <c r="E159" s="332"/>
      <c r="F159" s="332"/>
      <c r="G159" s="332"/>
      <c r="H159" s="332"/>
    </row>
    <row r="160" spans="1:8" ht="20" customHeight="1">
      <c r="A160" s="225" t="s">
        <v>596</v>
      </c>
      <c r="B160" s="228" t="s">
        <v>597</v>
      </c>
      <c r="C160" s="228" t="s">
        <v>598</v>
      </c>
      <c r="D160" s="331" t="s">
        <v>599</v>
      </c>
      <c r="E160" s="331"/>
      <c r="F160" s="331"/>
      <c r="G160" s="331"/>
      <c r="H160" s="331"/>
    </row>
    <row r="161" spans="1:8" ht="20" customHeight="1">
      <c r="A161" s="224" t="s">
        <v>600</v>
      </c>
      <c r="B161" s="227" t="s">
        <v>601</v>
      </c>
      <c r="C161" s="227" t="s">
        <v>598</v>
      </c>
      <c r="D161" s="332" t="s">
        <v>602</v>
      </c>
      <c r="E161" s="332"/>
      <c r="F161" s="332"/>
      <c r="G161" s="332"/>
      <c r="H161" s="332"/>
    </row>
    <row r="162" spans="1:8" ht="20" customHeight="1">
      <c r="A162" s="225" t="s">
        <v>603</v>
      </c>
      <c r="B162" s="228" t="s">
        <v>604</v>
      </c>
      <c r="C162" s="228" t="s">
        <v>598</v>
      </c>
      <c r="D162" s="331" t="s">
        <v>605</v>
      </c>
      <c r="E162" s="331"/>
      <c r="F162" s="331"/>
      <c r="G162" s="331"/>
      <c r="H162" s="331"/>
    </row>
    <row r="163" spans="1:8" ht="20" customHeight="1">
      <c r="A163" s="224" t="s">
        <v>606</v>
      </c>
      <c r="B163" s="227" t="s">
        <v>607</v>
      </c>
      <c r="C163" s="227" t="s">
        <v>598</v>
      </c>
      <c r="D163" s="332" t="s">
        <v>608</v>
      </c>
      <c r="E163" s="332"/>
      <c r="F163" s="332"/>
      <c r="G163" s="332"/>
      <c r="H163" s="332"/>
    </row>
    <row r="164" spans="1:8" ht="20" customHeight="1">
      <c r="A164" s="225" t="s">
        <v>609</v>
      </c>
      <c r="B164" s="228" t="s">
        <v>610</v>
      </c>
      <c r="C164" s="228" t="s">
        <v>598</v>
      </c>
      <c r="D164" s="331" t="s">
        <v>611</v>
      </c>
      <c r="E164" s="331"/>
      <c r="F164" s="331"/>
      <c r="G164" s="331"/>
      <c r="H164" s="331"/>
    </row>
    <row r="165" spans="1:8" ht="20" customHeight="1">
      <c r="A165" s="224" t="s">
        <v>612</v>
      </c>
      <c r="B165" s="227" t="s">
        <v>613</v>
      </c>
      <c r="C165" s="227" t="s">
        <v>614</v>
      </c>
      <c r="D165" s="332" t="s">
        <v>615</v>
      </c>
      <c r="E165" s="332"/>
      <c r="F165" s="332"/>
      <c r="G165" s="332"/>
      <c r="H165" s="332"/>
    </row>
    <row r="166" spans="1:8" ht="20" customHeight="1">
      <c r="A166" s="225" t="s">
        <v>616</v>
      </c>
      <c r="B166" s="228" t="s">
        <v>617</v>
      </c>
      <c r="C166" s="228" t="s">
        <v>618</v>
      </c>
      <c r="D166" s="331" t="s">
        <v>619</v>
      </c>
      <c r="E166" s="331"/>
      <c r="F166" s="331"/>
      <c r="G166" s="331"/>
      <c r="H166" s="331"/>
    </row>
    <row r="167" spans="1:8" ht="20" customHeight="1">
      <c r="A167" s="224" t="s">
        <v>620</v>
      </c>
      <c r="B167" s="227" t="s">
        <v>621</v>
      </c>
      <c r="C167" s="227" t="s">
        <v>622</v>
      </c>
      <c r="D167" s="332" t="s">
        <v>623</v>
      </c>
      <c r="E167" s="332"/>
      <c r="F167" s="332"/>
      <c r="G167" s="332"/>
      <c r="H167" s="332"/>
    </row>
    <row r="169" spans="1:8" ht="22" customHeight="1">
      <c r="A169" s="329" t="s">
        <v>624</v>
      </c>
      <c r="B169" s="329"/>
      <c r="C169" s="329"/>
      <c r="D169" s="329"/>
      <c r="E169" s="329"/>
      <c r="F169" s="329"/>
      <c r="G169" s="329"/>
      <c r="H169" s="329"/>
    </row>
    <row r="170" spans="1:8" ht="16" customHeight="1">
      <c r="A170" s="226" t="s">
        <v>625</v>
      </c>
      <c r="B170" s="226" t="s">
        <v>626</v>
      </c>
      <c r="C170" s="330" t="s">
        <v>627</v>
      </c>
      <c r="D170" s="330"/>
      <c r="E170" s="330"/>
      <c r="F170" s="330"/>
      <c r="G170" s="226" t="s">
        <v>590</v>
      </c>
      <c r="H170" s="226" t="s">
        <v>89</v>
      </c>
    </row>
    <row r="171" spans="1:8" ht="28" customHeight="1">
      <c r="A171" s="243" t="s">
        <v>628</v>
      </c>
      <c r="B171" s="244" t="s">
        <v>512</v>
      </c>
      <c r="C171" s="326" t="s">
        <v>629</v>
      </c>
      <c r="D171" s="326"/>
      <c r="E171" s="326"/>
      <c r="F171" s="326"/>
      <c r="G171" s="245" t="s">
        <v>630</v>
      </c>
      <c r="H171" s="246" t="s">
        <v>631</v>
      </c>
    </row>
    <row r="172" spans="1:8" ht="28" customHeight="1">
      <c r="A172" s="247" t="s">
        <v>632</v>
      </c>
      <c r="B172" s="248" t="s">
        <v>518</v>
      </c>
      <c r="C172" s="327" t="s">
        <v>633</v>
      </c>
      <c r="D172" s="327"/>
      <c r="E172" s="327"/>
      <c r="F172" s="327"/>
      <c r="G172" s="249" t="s">
        <v>634</v>
      </c>
      <c r="H172" s="250" t="s">
        <v>631</v>
      </c>
    </row>
    <row r="173" spans="1:8" ht="28" customHeight="1">
      <c r="A173" s="243" t="s">
        <v>635</v>
      </c>
      <c r="B173" s="244" t="s">
        <v>636</v>
      </c>
      <c r="C173" s="326" t="s">
        <v>637</v>
      </c>
      <c r="D173" s="326"/>
      <c r="E173" s="326"/>
      <c r="F173" s="326"/>
      <c r="G173" s="245" t="s">
        <v>638</v>
      </c>
      <c r="H173" s="246" t="s">
        <v>631</v>
      </c>
    </row>
    <row r="174" spans="1:8" ht="28" customHeight="1">
      <c r="A174" s="247" t="s">
        <v>639</v>
      </c>
      <c r="B174" s="248" t="s">
        <v>640</v>
      </c>
      <c r="C174" s="327" t="s">
        <v>641</v>
      </c>
      <c r="D174" s="327"/>
      <c r="E174" s="327"/>
      <c r="F174" s="327"/>
      <c r="G174" s="249" t="s">
        <v>642</v>
      </c>
      <c r="H174" s="250" t="s">
        <v>631</v>
      </c>
    </row>
    <row r="175" spans="1:8" ht="28" customHeight="1">
      <c r="A175" s="243" t="s">
        <v>643</v>
      </c>
      <c r="B175" s="244" t="s">
        <v>644</v>
      </c>
      <c r="C175" s="326" t="s">
        <v>645</v>
      </c>
      <c r="D175" s="326"/>
      <c r="E175" s="326"/>
      <c r="F175" s="326"/>
      <c r="G175" s="245" t="s">
        <v>646</v>
      </c>
      <c r="H175" s="246" t="s">
        <v>631</v>
      </c>
    </row>
    <row r="176" spans="1:8" ht="28" customHeight="1">
      <c r="A176" s="247" t="s">
        <v>647</v>
      </c>
      <c r="B176" s="248" t="s">
        <v>648</v>
      </c>
      <c r="C176" s="327" t="s">
        <v>649</v>
      </c>
      <c r="D176" s="327"/>
      <c r="E176" s="327"/>
      <c r="F176" s="327"/>
      <c r="G176" s="249" t="s">
        <v>650</v>
      </c>
      <c r="H176" s="250" t="s">
        <v>631</v>
      </c>
    </row>
    <row r="177" spans="1:8" ht="28" customHeight="1">
      <c r="A177" s="243" t="s">
        <v>651</v>
      </c>
      <c r="B177" s="244" t="s">
        <v>652</v>
      </c>
      <c r="C177" s="326" t="s">
        <v>653</v>
      </c>
      <c r="D177" s="326"/>
      <c r="E177" s="326"/>
      <c r="F177" s="326"/>
      <c r="G177" s="245" t="s">
        <v>634</v>
      </c>
      <c r="H177" s="246" t="s">
        <v>631</v>
      </c>
    </row>
    <row r="179" spans="1:8" ht="18" customHeight="1">
      <c r="A179" s="328" t="s">
        <v>654</v>
      </c>
      <c r="B179" s="328"/>
      <c r="C179" s="328"/>
      <c r="D179" s="328"/>
      <c r="E179" s="328"/>
      <c r="F179" s="328"/>
      <c r="G179" s="328"/>
      <c r="H179" s="328"/>
    </row>
  </sheetData>
  <mergeCells count="167">
    <mergeCell ref="A11:H11"/>
    <mergeCell ref="A12:H12"/>
    <mergeCell ref="A13:H13"/>
    <mergeCell ref="A15:H15"/>
    <mergeCell ref="C17:F17"/>
    <mergeCell ref="G17:H17"/>
    <mergeCell ref="A1:H1"/>
    <mergeCell ref="A5:H5"/>
    <mergeCell ref="A6:H6"/>
    <mergeCell ref="A8:H8"/>
    <mergeCell ref="A9:H9"/>
    <mergeCell ref="A10:H10"/>
    <mergeCell ref="C21:F21"/>
    <mergeCell ref="G21:H21"/>
    <mergeCell ref="A23:H23"/>
    <mergeCell ref="A24:H24"/>
    <mergeCell ref="A25:H25"/>
    <mergeCell ref="A26:H26"/>
    <mergeCell ref="C18:F18"/>
    <mergeCell ref="G18:H18"/>
    <mergeCell ref="C19:F19"/>
    <mergeCell ref="G19:H19"/>
    <mergeCell ref="C20:F20"/>
    <mergeCell ref="G20:H20"/>
    <mergeCell ref="A34:H34"/>
    <mergeCell ref="A35:H35"/>
    <mergeCell ref="A36:H36"/>
    <mergeCell ref="A37:H37"/>
    <mergeCell ref="A38:H38"/>
    <mergeCell ref="A40:H40"/>
    <mergeCell ref="A27:H27"/>
    <mergeCell ref="A28:H28"/>
    <mergeCell ref="A29:H29"/>
    <mergeCell ref="A30:H30"/>
    <mergeCell ref="A31:H31"/>
    <mergeCell ref="A33:H33"/>
    <mergeCell ref="B44:C44"/>
    <mergeCell ref="D44:H44"/>
    <mergeCell ref="B45:C45"/>
    <mergeCell ref="D45:H45"/>
    <mergeCell ref="A47:H47"/>
    <mergeCell ref="A48:H48"/>
    <mergeCell ref="B41:C41"/>
    <mergeCell ref="D41:H41"/>
    <mergeCell ref="B42:C42"/>
    <mergeCell ref="D42:H42"/>
    <mergeCell ref="B43:C43"/>
    <mergeCell ref="D43:H43"/>
    <mergeCell ref="A56:H56"/>
    <mergeCell ref="C57:F57"/>
    <mergeCell ref="C58:F58"/>
    <mergeCell ref="C59:F59"/>
    <mergeCell ref="C60:F60"/>
    <mergeCell ref="C61:F61"/>
    <mergeCell ref="C49:F49"/>
    <mergeCell ref="C50:F50"/>
    <mergeCell ref="C51:F51"/>
    <mergeCell ref="C52:F52"/>
    <mergeCell ref="C53:F53"/>
    <mergeCell ref="C54:F54"/>
    <mergeCell ref="C69:F69"/>
    <mergeCell ref="C70:F70"/>
    <mergeCell ref="C71:F71"/>
    <mergeCell ref="C72:F72"/>
    <mergeCell ref="C73:F73"/>
    <mergeCell ref="A75:H75"/>
    <mergeCell ref="C62:F62"/>
    <mergeCell ref="C63:F63"/>
    <mergeCell ref="A65:H65"/>
    <mergeCell ref="C66:F66"/>
    <mergeCell ref="C67:F67"/>
    <mergeCell ref="C68:F68"/>
    <mergeCell ref="A83:H83"/>
    <mergeCell ref="C84:F84"/>
    <mergeCell ref="C85:F85"/>
    <mergeCell ref="C86:F86"/>
    <mergeCell ref="C87:F87"/>
    <mergeCell ref="C88:F88"/>
    <mergeCell ref="C76:F76"/>
    <mergeCell ref="C77:F77"/>
    <mergeCell ref="C78:F78"/>
    <mergeCell ref="C79:F79"/>
    <mergeCell ref="C80:F80"/>
    <mergeCell ref="C81:F81"/>
    <mergeCell ref="A96:H96"/>
    <mergeCell ref="B97:H97"/>
    <mergeCell ref="B98:H98"/>
    <mergeCell ref="B100:H100"/>
    <mergeCell ref="B101:H101"/>
    <mergeCell ref="B102:H102"/>
    <mergeCell ref="C89:F89"/>
    <mergeCell ref="C90:F90"/>
    <mergeCell ref="C91:F91"/>
    <mergeCell ref="C92:F92"/>
    <mergeCell ref="C93:F93"/>
    <mergeCell ref="A95:H95"/>
    <mergeCell ref="B99:H99"/>
    <mergeCell ref="B110:H110"/>
    <mergeCell ref="B111:H111"/>
    <mergeCell ref="B112:H112"/>
    <mergeCell ref="B113:H113"/>
    <mergeCell ref="B114:H114"/>
    <mergeCell ref="B115:H115"/>
    <mergeCell ref="B103:H103"/>
    <mergeCell ref="B104:H104"/>
    <mergeCell ref="B105:H105"/>
    <mergeCell ref="B106:H106"/>
    <mergeCell ref="A108:H108"/>
    <mergeCell ref="B109:H109"/>
    <mergeCell ref="B123:H123"/>
    <mergeCell ref="B124:H124"/>
    <mergeCell ref="B125:H125"/>
    <mergeCell ref="B126:H126"/>
    <mergeCell ref="B127:H127"/>
    <mergeCell ref="B128:H128"/>
    <mergeCell ref="B116:H116"/>
    <mergeCell ref="B117:H117"/>
    <mergeCell ref="B118:H118"/>
    <mergeCell ref="B119:H119"/>
    <mergeCell ref="A121:H121"/>
    <mergeCell ref="B122:H122"/>
    <mergeCell ref="D136:H136"/>
    <mergeCell ref="D137:H137"/>
    <mergeCell ref="D138:H138"/>
    <mergeCell ref="D139:H139"/>
    <mergeCell ref="D140:H140"/>
    <mergeCell ref="A142:H142"/>
    <mergeCell ref="B129:H129"/>
    <mergeCell ref="A131:H131"/>
    <mergeCell ref="D132:H132"/>
    <mergeCell ref="D133:H133"/>
    <mergeCell ref="D134:H134"/>
    <mergeCell ref="D135:H135"/>
    <mergeCell ref="B149:H149"/>
    <mergeCell ref="B150:H150"/>
    <mergeCell ref="B151:H151"/>
    <mergeCell ref="B152:H152"/>
    <mergeCell ref="B153:H153"/>
    <mergeCell ref="B154:H154"/>
    <mergeCell ref="A143:H143"/>
    <mergeCell ref="B144:H144"/>
    <mergeCell ref="B145:H145"/>
    <mergeCell ref="B146:H146"/>
    <mergeCell ref="B147:H147"/>
    <mergeCell ref="B148:H148"/>
    <mergeCell ref="D162:H162"/>
    <mergeCell ref="D163:H163"/>
    <mergeCell ref="D164:H164"/>
    <mergeCell ref="D165:H165"/>
    <mergeCell ref="D166:H166"/>
    <mergeCell ref="D167:H167"/>
    <mergeCell ref="B155:H155"/>
    <mergeCell ref="A157:H157"/>
    <mergeCell ref="D158:H158"/>
    <mergeCell ref="D159:H159"/>
    <mergeCell ref="D160:H160"/>
    <mergeCell ref="D161:H161"/>
    <mergeCell ref="C175:F175"/>
    <mergeCell ref="C176:F176"/>
    <mergeCell ref="C177:F177"/>
    <mergeCell ref="A179:H179"/>
    <mergeCell ref="A169:H169"/>
    <mergeCell ref="C170:F170"/>
    <mergeCell ref="C171:F171"/>
    <mergeCell ref="C172:F172"/>
    <mergeCell ref="C173:F173"/>
    <mergeCell ref="C174:F17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0AA2-5EF9-E141-97CC-CBDF2D0547E4}">
  <dimension ref="A1:I158"/>
  <sheetViews>
    <sheetView zoomScale="168" workbookViewId="0">
      <pane ySplit="1" topLeftCell="A65" activePane="bottomLeft" state="frozen"/>
      <selection activeCell="B1" sqref="B1"/>
      <selection pane="bottomLeft" activeCell="B82" sqref="B82:I82"/>
    </sheetView>
  </sheetViews>
  <sheetFormatPr baseColWidth="10" defaultRowHeight="15"/>
  <cols>
    <col min="1" max="1" width="12.5" style="56" customWidth="1"/>
    <col min="2" max="2" width="25.83203125" style="56" customWidth="1"/>
    <col min="3" max="4" width="15" style="56" customWidth="1"/>
    <col min="5" max="5" width="10" style="56" customWidth="1"/>
    <col min="6" max="6" width="11.6640625" style="56" customWidth="1"/>
    <col min="7" max="7" width="26.6640625" style="56" customWidth="1"/>
    <col min="8" max="8" width="15" style="56" customWidth="1"/>
    <col min="9" max="9" width="14.1640625" style="56" customWidth="1"/>
    <col min="10" max="16384" width="10.83203125" style="56"/>
  </cols>
  <sheetData>
    <row r="1" spans="1:9" ht="30" customHeight="1">
      <c r="A1" s="369" t="s">
        <v>655</v>
      </c>
      <c r="B1" s="369"/>
      <c r="C1" s="369"/>
      <c r="D1" s="369"/>
      <c r="E1" s="369"/>
      <c r="F1" s="369"/>
      <c r="G1" s="369"/>
      <c r="H1" s="369"/>
      <c r="I1" s="369"/>
    </row>
    <row r="2" spans="1:9" ht="18" customHeight="1">
      <c r="A2" s="370" t="s">
        <v>656</v>
      </c>
      <c r="B2" s="370"/>
      <c r="C2" s="370"/>
      <c r="D2" s="370"/>
      <c r="E2" s="370"/>
      <c r="F2" s="370"/>
      <c r="G2" s="370"/>
      <c r="H2" s="370"/>
      <c r="I2" s="370"/>
    </row>
    <row r="4" spans="1:9" ht="22" customHeight="1">
      <c r="A4" s="329" t="s">
        <v>657</v>
      </c>
      <c r="B4" s="329"/>
      <c r="C4" s="329"/>
      <c r="D4" s="329"/>
      <c r="E4" s="329"/>
      <c r="F4" s="329"/>
      <c r="G4" s="329"/>
      <c r="H4" s="329"/>
      <c r="I4" s="329"/>
    </row>
    <row r="5" spans="1:9" ht="18" customHeight="1">
      <c r="A5" s="224" t="s">
        <v>658</v>
      </c>
      <c r="B5" s="230" t="s">
        <v>659</v>
      </c>
      <c r="C5" s="332" t="s">
        <v>660</v>
      </c>
      <c r="D5" s="332"/>
      <c r="E5" s="332"/>
      <c r="F5" s="332"/>
      <c r="G5" s="332"/>
      <c r="H5" s="332"/>
      <c r="I5" s="332"/>
    </row>
    <row r="6" spans="1:9" ht="18" customHeight="1">
      <c r="A6" s="225" t="s">
        <v>661</v>
      </c>
      <c r="B6" s="229" t="s">
        <v>662</v>
      </c>
      <c r="C6" s="331" t="s">
        <v>663</v>
      </c>
      <c r="D6" s="331"/>
      <c r="E6" s="331"/>
      <c r="F6" s="331"/>
      <c r="G6" s="331"/>
      <c r="H6" s="331"/>
      <c r="I6" s="331"/>
    </row>
    <row r="7" spans="1:9" ht="18" customHeight="1">
      <c r="A7" s="224" t="s">
        <v>664</v>
      </c>
      <c r="B7" s="230" t="s">
        <v>665</v>
      </c>
      <c r="C7" s="332" t="s">
        <v>666</v>
      </c>
      <c r="D7" s="332"/>
      <c r="E7" s="332"/>
      <c r="F7" s="332"/>
      <c r="G7" s="332"/>
      <c r="H7" s="332"/>
      <c r="I7" s="332"/>
    </row>
    <row r="8" spans="1:9" ht="18" customHeight="1">
      <c r="A8" s="225" t="s">
        <v>667</v>
      </c>
      <c r="B8" s="229" t="s">
        <v>668</v>
      </c>
      <c r="C8" s="331" t="s">
        <v>669</v>
      </c>
      <c r="D8" s="331"/>
      <c r="E8" s="331"/>
      <c r="F8" s="331"/>
      <c r="G8" s="331"/>
      <c r="H8" s="331"/>
      <c r="I8" s="331"/>
    </row>
    <row r="9" spans="1:9" ht="18" customHeight="1">
      <c r="A9" s="224" t="s">
        <v>670</v>
      </c>
      <c r="B9" s="230" t="s">
        <v>232</v>
      </c>
      <c r="C9" s="332" t="s">
        <v>671</v>
      </c>
      <c r="D9" s="332"/>
      <c r="E9" s="332"/>
      <c r="F9" s="332"/>
      <c r="G9" s="332"/>
      <c r="H9" s="332"/>
      <c r="I9" s="332"/>
    </row>
    <row r="10" spans="1:9" ht="18" customHeight="1">
      <c r="A10" s="225" t="s">
        <v>672</v>
      </c>
      <c r="B10" s="229" t="s">
        <v>673</v>
      </c>
      <c r="C10" s="331" t="s">
        <v>674</v>
      </c>
      <c r="D10" s="331"/>
      <c r="E10" s="331"/>
      <c r="F10" s="331"/>
      <c r="G10" s="331"/>
      <c r="H10" s="331"/>
      <c r="I10" s="331"/>
    </row>
    <row r="11" spans="1:9" ht="18" customHeight="1">
      <c r="A11" s="224" t="s">
        <v>675</v>
      </c>
      <c r="B11" s="230" t="s">
        <v>676</v>
      </c>
      <c r="C11" s="332" t="s">
        <v>677</v>
      </c>
      <c r="D11" s="332"/>
      <c r="E11" s="332"/>
      <c r="F11" s="332"/>
      <c r="G11" s="332"/>
      <c r="H11" s="332"/>
      <c r="I11" s="332"/>
    </row>
    <row r="13" spans="1:9" ht="22" customHeight="1">
      <c r="A13" s="329" t="s">
        <v>678</v>
      </c>
      <c r="B13" s="329"/>
      <c r="C13" s="329"/>
      <c r="D13" s="329"/>
      <c r="E13" s="329"/>
      <c r="F13" s="329"/>
      <c r="G13" s="329"/>
      <c r="H13" s="329"/>
      <c r="I13" s="329"/>
    </row>
    <row r="14" spans="1:9" ht="18" customHeight="1">
      <c r="A14" s="337" t="s">
        <v>679</v>
      </c>
      <c r="B14" s="337"/>
      <c r="C14" s="337"/>
      <c r="D14" s="337"/>
      <c r="E14" s="337"/>
      <c r="F14" s="337"/>
      <c r="G14" s="337"/>
      <c r="H14" s="337"/>
      <c r="I14" s="337"/>
    </row>
    <row r="15" spans="1:9" ht="36" customHeight="1">
      <c r="A15" s="336" t="s">
        <v>680</v>
      </c>
      <c r="B15" s="336"/>
      <c r="C15" s="336"/>
      <c r="D15" s="336"/>
      <c r="E15" s="336"/>
      <c r="F15" s="336"/>
      <c r="G15" s="336"/>
      <c r="H15" s="336"/>
      <c r="I15" s="336"/>
    </row>
    <row r="16" spans="1:9" ht="16" customHeight="1">
      <c r="A16" s="226" t="s">
        <v>681</v>
      </c>
      <c r="B16" s="226" t="s">
        <v>682</v>
      </c>
      <c r="C16" s="330" t="s">
        <v>683</v>
      </c>
      <c r="D16" s="330"/>
      <c r="E16" s="330"/>
      <c r="F16" s="330" t="s">
        <v>684</v>
      </c>
      <c r="G16" s="330"/>
      <c r="H16" s="226" t="s">
        <v>685</v>
      </c>
      <c r="I16" s="226"/>
    </row>
    <row r="17" spans="1:9" ht="28" customHeight="1">
      <c r="A17" s="223" t="s">
        <v>253</v>
      </c>
      <c r="B17" s="223" t="s">
        <v>686</v>
      </c>
      <c r="C17" s="346" t="e">
        <f>DATEDIF(C6, 'Premium Table'!$B$6, "Y")</f>
        <v>#VALUE!</v>
      </c>
      <c r="D17" s="336"/>
      <c r="E17" s="336"/>
      <c r="F17" s="336" t="s">
        <v>687</v>
      </c>
      <c r="G17" s="336"/>
      <c r="H17" s="223" t="s">
        <v>688</v>
      </c>
      <c r="I17" s="223"/>
    </row>
    <row r="18" spans="1:9" ht="36" customHeight="1">
      <c r="A18" s="236" t="s">
        <v>689</v>
      </c>
      <c r="B18" s="335" t="s">
        <v>690</v>
      </c>
      <c r="C18" s="335"/>
      <c r="D18" s="335"/>
      <c r="E18" s="335"/>
      <c r="F18" s="335"/>
      <c r="G18" s="335"/>
      <c r="H18" s="335"/>
      <c r="I18" s="335"/>
    </row>
    <row r="20" spans="1:9" ht="22" customHeight="1">
      <c r="A20" s="329" t="s">
        <v>691</v>
      </c>
      <c r="B20" s="329"/>
      <c r="C20" s="329"/>
      <c r="D20" s="329"/>
      <c r="E20" s="329"/>
      <c r="F20" s="329"/>
      <c r="G20" s="329"/>
      <c r="H20" s="329"/>
      <c r="I20" s="329"/>
    </row>
    <row r="21" spans="1:9" ht="18" customHeight="1">
      <c r="A21" s="337" t="s">
        <v>692</v>
      </c>
      <c r="B21" s="337"/>
      <c r="C21" s="337"/>
      <c r="D21" s="337"/>
      <c r="E21" s="337"/>
      <c r="F21" s="337"/>
      <c r="G21" s="337"/>
      <c r="H21" s="337"/>
      <c r="I21" s="337"/>
    </row>
    <row r="22" spans="1:9" ht="44" customHeight="1">
      <c r="A22" s="336" t="s">
        <v>693</v>
      </c>
      <c r="B22" s="336"/>
      <c r="C22" s="336"/>
      <c r="D22" s="336"/>
      <c r="E22" s="336"/>
      <c r="F22" s="336"/>
      <c r="G22" s="336"/>
      <c r="H22" s="336"/>
      <c r="I22" s="336"/>
    </row>
    <row r="23" spans="1:9" ht="16" customHeight="1">
      <c r="A23" s="330" t="s">
        <v>694</v>
      </c>
      <c r="B23" s="330"/>
      <c r="C23" s="330"/>
      <c r="E23" s="330" t="s">
        <v>695</v>
      </c>
      <c r="F23" s="330"/>
      <c r="G23" s="330"/>
    </row>
    <row r="24" spans="1:9" ht="16" customHeight="1">
      <c r="A24" s="231" t="s">
        <v>696</v>
      </c>
      <c r="B24" s="231" t="s">
        <v>697</v>
      </c>
      <c r="C24" s="231" t="s">
        <v>698</v>
      </c>
      <c r="E24" s="231" t="s">
        <v>696</v>
      </c>
      <c r="F24" s="231" t="s">
        <v>699</v>
      </c>
      <c r="G24" s="231" t="s">
        <v>698</v>
      </c>
    </row>
    <row r="25" spans="1:9" ht="16" customHeight="1">
      <c r="A25" s="230">
        <v>1</v>
      </c>
      <c r="B25" s="227" t="s">
        <v>700</v>
      </c>
      <c r="C25" s="227" t="s">
        <v>701</v>
      </c>
      <c r="E25" s="230">
        <v>1</v>
      </c>
      <c r="F25" s="227" t="s">
        <v>724</v>
      </c>
      <c r="G25" s="227" t="s">
        <v>725</v>
      </c>
    </row>
    <row r="26" spans="1:9" ht="16" customHeight="1">
      <c r="A26" s="229">
        <v>2</v>
      </c>
      <c r="B26" s="228" t="s">
        <v>702</v>
      </c>
      <c r="C26" s="228" t="s">
        <v>703</v>
      </c>
      <c r="E26" s="229">
        <v>2</v>
      </c>
      <c r="F26" s="228" t="s">
        <v>726</v>
      </c>
      <c r="G26" s="228" t="s">
        <v>727</v>
      </c>
    </row>
    <row r="27" spans="1:9" ht="16" customHeight="1">
      <c r="A27" s="230">
        <v>3</v>
      </c>
      <c r="B27" s="227" t="s">
        <v>704</v>
      </c>
      <c r="C27" s="227" t="s">
        <v>705</v>
      </c>
      <c r="E27" s="230">
        <v>3</v>
      </c>
      <c r="F27" s="227" t="s">
        <v>728</v>
      </c>
      <c r="G27" s="227" t="s">
        <v>729</v>
      </c>
    </row>
    <row r="28" spans="1:9" ht="16" customHeight="1">
      <c r="A28" s="229">
        <v>4</v>
      </c>
      <c r="B28" s="228" t="s">
        <v>706</v>
      </c>
      <c r="C28" s="228" t="s">
        <v>707</v>
      </c>
      <c r="E28" s="229">
        <v>4</v>
      </c>
      <c r="F28" s="228" t="s">
        <v>720</v>
      </c>
      <c r="G28" s="228" t="s">
        <v>721</v>
      </c>
    </row>
    <row r="29" spans="1:9" ht="16" customHeight="1">
      <c r="A29" s="230">
        <v>5</v>
      </c>
      <c r="B29" s="227" t="s">
        <v>708</v>
      </c>
      <c r="C29" s="227" t="s">
        <v>709</v>
      </c>
      <c r="E29" s="230">
        <v>5</v>
      </c>
      <c r="F29" s="227" t="s">
        <v>722</v>
      </c>
      <c r="G29" s="227" t="s">
        <v>723</v>
      </c>
    </row>
    <row r="30" spans="1:9" ht="16" customHeight="1">
      <c r="A30" s="229">
        <v>6</v>
      </c>
      <c r="B30" s="228" t="s">
        <v>710</v>
      </c>
      <c r="C30" s="228" t="s">
        <v>711</v>
      </c>
      <c r="E30" s="228"/>
      <c r="F30" s="228"/>
      <c r="G30" s="228"/>
    </row>
    <row r="31" spans="1:9" ht="16" customHeight="1">
      <c r="A31" s="230">
        <v>7</v>
      </c>
      <c r="B31" s="227" t="s">
        <v>712</v>
      </c>
      <c r="C31" s="227" t="s">
        <v>713</v>
      </c>
      <c r="E31" s="227"/>
      <c r="F31" s="227"/>
      <c r="G31" s="227"/>
    </row>
    <row r="32" spans="1:9" ht="16" customHeight="1">
      <c r="A32" s="229">
        <v>8</v>
      </c>
      <c r="B32" s="228" t="s">
        <v>714</v>
      </c>
      <c r="C32" s="228" t="s">
        <v>715</v>
      </c>
      <c r="E32" s="228"/>
      <c r="F32" s="228"/>
      <c r="G32" s="228"/>
    </row>
    <row r="33" spans="1:9" ht="16" customHeight="1">
      <c r="A33" s="230">
        <v>9</v>
      </c>
      <c r="B33" s="227" t="s">
        <v>716</v>
      </c>
      <c r="C33" s="227" t="s">
        <v>717</v>
      </c>
      <c r="E33" s="227"/>
      <c r="F33" s="227"/>
      <c r="G33" s="227"/>
    </row>
    <row r="34" spans="1:9" ht="16" customHeight="1">
      <c r="A34" s="229">
        <v>10</v>
      </c>
      <c r="B34" s="228" t="s">
        <v>718</v>
      </c>
      <c r="C34" s="228" t="s">
        <v>719</v>
      </c>
      <c r="E34" s="228"/>
      <c r="F34" s="228"/>
      <c r="G34" s="228"/>
    </row>
    <row r="35" spans="1:9" ht="16" customHeight="1">
      <c r="A35" s="230">
        <v>11</v>
      </c>
      <c r="B35" s="227" t="s">
        <v>720</v>
      </c>
      <c r="C35" s="227" t="s">
        <v>721</v>
      </c>
      <c r="E35" s="227"/>
      <c r="F35" s="227"/>
      <c r="G35" s="227"/>
    </row>
    <row r="36" spans="1:9" ht="16" customHeight="1">
      <c r="A36" s="229">
        <v>12</v>
      </c>
      <c r="B36" s="228" t="s">
        <v>722</v>
      </c>
      <c r="C36" s="228" t="s">
        <v>723</v>
      </c>
      <c r="E36" s="228"/>
      <c r="F36" s="228"/>
      <c r="G36" s="228"/>
    </row>
    <row r="38" spans="1:9" ht="16" customHeight="1">
      <c r="A38" s="226" t="s">
        <v>681</v>
      </c>
      <c r="B38" s="226" t="s">
        <v>682</v>
      </c>
      <c r="C38" s="330" t="s">
        <v>683</v>
      </c>
      <c r="D38" s="330"/>
      <c r="E38" s="330"/>
      <c r="F38" s="330" t="s">
        <v>373</v>
      </c>
      <c r="G38" s="330"/>
      <c r="H38" s="330"/>
      <c r="I38" s="330"/>
    </row>
    <row r="39" spans="1:9" ht="36" customHeight="1">
      <c r="A39" s="234" t="s">
        <v>254</v>
      </c>
      <c r="B39" s="223" t="s">
        <v>730</v>
      </c>
      <c r="C39" s="346" t="str">
        <f>IF(H6="DXB", VLOOKUP(L6,$V$55:$W$154,2,FALSE), IF(H6="AUH", VLOOKUP(L6,$V$55:$X$154,3,FALSE), "Choose Plan"))</f>
        <v>Choose Plan</v>
      </c>
      <c r="D39" s="336"/>
      <c r="E39" s="336"/>
      <c r="F39" s="336" t="s">
        <v>731</v>
      </c>
      <c r="G39" s="336"/>
      <c r="H39" s="336"/>
      <c r="I39" s="336"/>
    </row>
    <row r="41" spans="1:9" ht="22" customHeight="1">
      <c r="A41" s="329" t="s">
        <v>732</v>
      </c>
      <c r="B41" s="329"/>
      <c r="C41" s="329"/>
      <c r="D41" s="329"/>
      <c r="E41" s="329"/>
      <c r="F41" s="329"/>
      <c r="G41" s="329"/>
      <c r="H41" s="329"/>
      <c r="I41" s="329"/>
    </row>
    <row r="42" spans="1:9" ht="18" customHeight="1">
      <c r="A42" s="337" t="s">
        <v>692</v>
      </c>
      <c r="B42" s="337"/>
      <c r="C42" s="337"/>
      <c r="D42" s="337"/>
      <c r="E42" s="337"/>
      <c r="F42" s="337"/>
      <c r="G42" s="337"/>
      <c r="H42" s="337"/>
      <c r="I42" s="337"/>
    </row>
    <row r="43" spans="1:9" ht="44" customHeight="1">
      <c r="A43" s="336" t="s">
        <v>733</v>
      </c>
      <c r="B43" s="336"/>
      <c r="C43" s="336"/>
      <c r="D43" s="336"/>
      <c r="E43" s="336"/>
      <c r="F43" s="336"/>
      <c r="G43" s="336"/>
      <c r="H43" s="336"/>
      <c r="I43" s="336"/>
    </row>
    <row r="44" spans="1:9" ht="16" customHeight="1">
      <c r="A44" s="226" t="s">
        <v>734</v>
      </c>
      <c r="B44" s="226" t="s">
        <v>197</v>
      </c>
      <c r="C44" s="226" t="s">
        <v>213</v>
      </c>
      <c r="D44" s="226" t="s">
        <v>247</v>
      </c>
      <c r="E44" s="226" t="s">
        <v>735</v>
      </c>
      <c r="F44" s="330" t="s">
        <v>736</v>
      </c>
      <c r="G44" s="330"/>
      <c r="H44" s="330" t="s">
        <v>737</v>
      </c>
      <c r="I44" s="330"/>
    </row>
    <row r="45" spans="1:9" ht="16" customHeight="1">
      <c r="A45" s="251" t="s">
        <v>738</v>
      </c>
      <c r="B45" s="242" t="s">
        <v>235</v>
      </c>
      <c r="C45" s="242" t="s">
        <v>19</v>
      </c>
      <c r="D45" s="242" t="s">
        <v>739</v>
      </c>
      <c r="E45" s="242">
        <v>2</v>
      </c>
      <c r="F45" s="333" t="s">
        <v>263</v>
      </c>
      <c r="G45" s="333"/>
      <c r="H45" s="333" t="s">
        <v>740</v>
      </c>
      <c r="I45" s="333"/>
    </row>
    <row r="46" spans="1:9" ht="16" customHeight="1">
      <c r="A46" s="225" t="s">
        <v>741</v>
      </c>
      <c r="B46" s="228" t="s">
        <v>235</v>
      </c>
      <c r="C46" s="228" t="s">
        <v>20</v>
      </c>
      <c r="D46" s="228" t="s">
        <v>739</v>
      </c>
      <c r="E46" s="228">
        <v>3</v>
      </c>
      <c r="F46" s="331" t="s">
        <v>280</v>
      </c>
      <c r="G46" s="331"/>
      <c r="H46" s="331" t="s">
        <v>742</v>
      </c>
      <c r="I46" s="331"/>
    </row>
    <row r="47" spans="1:9" ht="16" customHeight="1">
      <c r="A47" s="251" t="s">
        <v>743</v>
      </c>
      <c r="B47" s="242" t="s">
        <v>235</v>
      </c>
      <c r="C47" s="242" t="s">
        <v>19</v>
      </c>
      <c r="D47" s="242" t="s">
        <v>744</v>
      </c>
      <c r="E47" s="242">
        <v>4</v>
      </c>
      <c r="F47" s="333" t="s">
        <v>745</v>
      </c>
      <c r="G47" s="333"/>
      <c r="H47" s="333" t="s">
        <v>746</v>
      </c>
      <c r="I47" s="333"/>
    </row>
    <row r="48" spans="1:9" ht="16" customHeight="1">
      <c r="A48" s="225" t="s">
        <v>747</v>
      </c>
      <c r="B48" s="228" t="s">
        <v>235</v>
      </c>
      <c r="C48" s="228" t="s">
        <v>20</v>
      </c>
      <c r="D48" s="228" t="s">
        <v>744</v>
      </c>
      <c r="E48" s="228">
        <v>5</v>
      </c>
      <c r="F48" s="331" t="s">
        <v>748</v>
      </c>
      <c r="G48" s="331"/>
      <c r="H48" s="331" t="s">
        <v>749</v>
      </c>
      <c r="I48" s="331"/>
    </row>
    <row r="49" spans="1:9" ht="16" customHeight="1">
      <c r="A49" s="224" t="s">
        <v>750</v>
      </c>
      <c r="B49" s="227" t="s">
        <v>236</v>
      </c>
      <c r="C49" s="227" t="s">
        <v>19</v>
      </c>
      <c r="D49" s="227" t="s">
        <v>739</v>
      </c>
      <c r="E49" s="227">
        <v>6</v>
      </c>
      <c r="F49" s="332" t="s">
        <v>751</v>
      </c>
      <c r="G49" s="332"/>
      <c r="H49" s="332" t="s">
        <v>752</v>
      </c>
      <c r="I49" s="332"/>
    </row>
    <row r="50" spans="1:9" ht="16" customHeight="1">
      <c r="A50" s="225" t="s">
        <v>753</v>
      </c>
      <c r="B50" s="228" t="s">
        <v>236</v>
      </c>
      <c r="C50" s="228" t="s">
        <v>20</v>
      </c>
      <c r="D50" s="228" t="s">
        <v>739</v>
      </c>
      <c r="E50" s="228">
        <v>7</v>
      </c>
      <c r="F50" s="331" t="s">
        <v>751</v>
      </c>
      <c r="G50" s="331"/>
      <c r="H50" s="331" t="s">
        <v>754</v>
      </c>
      <c r="I50" s="331"/>
    </row>
    <row r="51" spans="1:9" ht="16" customHeight="1">
      <c r="A51" s="224" t="s">
        <v>755</v>
      </c>
      <c r="B51" s="227" t="s">
        <v>236</v>
      </c>
      <c r="C51" s="227" t="s">
        <v>19</v>
      </c>
      <c r="D51" s="227" t="s">
        <v>744</v>
      </c>
      <c r="E51" s="227">
        <v>8</v>
      </c>
      <c r="F51" s="332" t="s">
        <v>751</v>
      </c>
      <c r="G51" s="332"/>
      <c r="H51" s="332" t="s">
        <v>756</v>
      </c>
      <c r="I51" s="332"/>
    </row>
    <row r="52" spans="1:9" ht="16" customHeight="1">
      <c r="A52" s="225" t="s">
        <v>757</v>
      </c>
      <c r="B52" s="228" t="s">
        <v>236</v>
      </c>
      <c r="C52" s="228" t="s">
        <v>20</v>
      </c>
      <c r="D52" s="228" t="s">
        <v>744</v>
      </c>
      <c r="E52" s="228">
        <v>9</v>
      </c>
      <c r="F52" s="331" t="s">
        <v>751</v>
      </c>
      <c r="G52" s="331"/>
      <c r="H52" s="331" t="s">
        <v>758</v>
      </c>
      <c r="I52" s="331"/>
    </row>
    <row r="53" spans="1:9" ht="16" customHeight="1">
      <c r="A53" s="224" t="s">
        <v>759</v>
      </c>
      <c r="B53" s="227" t="s">
        <v>237</v>
      </c>
      <c r="C53" s="227" t="s">
        <v>19</v>
      </c>
      <c r="D53" s="227" t="s">
        <v>739</v>
      </c>
      <c r="E53" s="227">
        <v>10</v>
      </c>
      <c r="F53" s="332" t="s">
        <v>751</v>
      </c>
      <c r="G53" s="332"/>
      <c r="H53" s="332" t="s">
        <v>760</v>
      </c>
      <c r="I53" s="332"/>
    </row>
    <row r="54" spans="1:9" ht="16" customHeight="1">
      <c r="A54" s="225" t="s">
        <v>761</v>
      </c>
      <c r="B54" s="228" t="s">
        <v>237</v>
      </c>
      <c r="C54" s="228" t="s">
        <v>20</v>
      </c>
      <c r="D54" s="228" t="s">
        <v>739</v>
      </c>
      <c r="E54" s="228">
        <v>11</v>
      </c>
      <c r="F54" s="331" t="s">
        <v>751</v>
      </c>
      <c r="G54" s="331"/>
      <c r="H54" s="331" t="s">
        <v>762</v>
      </c>
      <c r="I54" s="331"/>
    </row>
    <row r="55" spans="1:9" ht="16" customHeight="1">
      <c r="A55" s="224" t="s">
        <v>763</v>
      </c>
      <c r="B55" s="227" t="s">
        <v>237</v>
      </c>
      <c r="C55" s="227" t="s">
        <v>19</v>
      </c>
      <c r="D55" s="227" t="s">
        <v>744</v>
      </c>
      <c r="E55" s="227">
        <v>12</v>
      </c>
      <c r="F55" s="332" t="s">
        <v>751</v>
      </c>
      <c r="G55" s="332"/>
      <c r="H55" s="332" t="s">
        <v>764</v>
      </c>
      <c r="I55" s="332"/>
    </row>
    <row r="56" spans="1:9" ht="16" customHeight="1">
      <c r="A56" s="225" t="s">
        <v>765</v>
      </c>
      <c r="B56" s="228" t="s">
        <v>237</v>
      </c>
      <c r="C56" s="228" t="s">
        <v>20</v>
      </c>
      <c r="D56" s="228" t="s">
        <v>744</v>
      </c>
      <c r="E56" s="228">
        <v>13</v>
      </c>
      <c r="F56" s="331" t="s">
        <v>751</v>
      </c>
      <c r="G56" s="331"/>
      <c r="H56" s="331" t="s">
        <v>766</v>
      </c>
      <c r="I56" s="331"/>
    </row>
    <row r="58" spans="1:9" ht="16" customHeight="1">
      <c r="A58" s="226" t="s">
        <v>681</v>
      </c>
      <c r="B58" s="226" t="s">
        <v>682</v>
      </c>
      <c r="C58" s="330" t="s">
        <v>683</v>
      </c>
      <c r="D58" s="330"/>
      <c r="E58" s="330"/>
      <c r="F58" s="330" t="s">
        <v>767</v>
      </c>
      <c r="G58" s="330"/>
      <c r="H58" s="330"/>
      <c r="I58" s="330"/>
    </row>
    <row r="59" spans="1:9" ht="28" customHeight="1">
      <c r="A59" s="234" t="s">
        <v>251</v>
      </c>
      <c r="B59" s="223" t="s">
        <v>768</v>
      </c>
      <c r="C59" s="346" t="str">
        <f>CONCATENATE(E6, IF(D6="MALE","M","F"), IF(F6="Employee","E","D"))</f>
        <v>FD</v>
      </c>
      <c r="D59" s="336"/>
      <c r="E59" s="336"/>
      <c r="F59" s="336" t="s">
        <v>769</v>
      </c>
      <c r="G59" s="336"/>
      <c r="H59" s="336"/>
      <c r="I59" s="336"/>
    </row>
    <row r="60" spans="1:9" ht="28" customHeight="1">
      <c r="A60" s="236" t="s">
        <v>770</v>
      </c>
      <c r="B60" s="233" t="s">
        <v>771</v>
      </c>
      <c r="C60" s="348" t="e">
        <f>VLOOKUP(J6, $Y$19:$Z$50, 2, FALSE)</f>
        <v>#N/A</v>
      </c>
      <c r="D60" s="335"/>
      <c r="E60" s="335"/>
      <c r="F60" s="335" t="s">
        <v>772</v>
      </c>
      <c r="G60" s="335"/>
      <c r="H60" s="335"/>
      <c r="I60" s="335"/>
    </row>
    <row r="62" spans="1:9" ht="22" customHeight="1">
      <c r="A62" s="329" t="s">
        <v>773</v>
      </c>
      <c r="B62" s="329"/>
      <c r="C62" s="329"/>
      <c r="D62" s="329"/>
      <c r="E62" s="329"/>
      <c r="F62" s="329"/>
      <c r="G62" s="329"/>
      <c r="H62" s="329"/>
      <c r="I62" s="329"/>
    </row>
    <row r="63" spans="1:9" ht="18" customHeight="1">
      <c r="A63" s="337" t="s">
        <v>692</v>
      </c>
      <c r="B63" s="337"/>
      <c r="C63" s="337"/>
      <c r="D63" s="337"/>
      <c r="E63" s="337"/>
      <c r="F63" s="337"/>
      <c r="G63" s="337"/>
      <c r="H63" s="337"/>
      <c r="I63" s="337"/>
    </row>
    <row r="64" spans="1:9" ht="44" customHeight="1">
      <c r="A64" s="336" t="s">
        <v>774</v>
      </c>
      <c r="B64" s="336"/>
      <c r="C64" s="336"/>
      <c r="D64" s="336"/>
      <c r="E64" s="336"/>
      <c r="F64" s="336"/>
      <c r="G64" s="336"/>
      <c r="H64" s="336"/>
      <c r="I64" s="336"/>
    </row>
    <row r="65" spans="1:9" ht="18" customHeight="1">
      <c r="A65" s="368" t="s">
        <v>775</v>
      </c>
      <c r="B65" s="368"/>
      <c r="C65" s="368"/>
      <c r="D65" s="368"/>
      <c r="E65" s="368"/>
      <c r="F65" s="368"/>
      <c r="G65" s="368"/>
      <c r="H65" s="368"/>
      <c r="I65" s="368"/>
    </row>
    <row r="66" spans="1:9" ht="16" customHeight="1">
      <c r="A66" s="226" t="s">
        <v>696</v>
      </c>
      <c r="B66" s="226" t="s">
        <v>254</v>
      </c>
      <c r="C66" s="226" t="s">
        <v>776</v>
      </c>
      <c r="D66" s="226" t="s">
        <v>777</v>
      </c>
      <c r="E66" s="226" t="s">
        <v>778</v>
      </c>
      <c r="F66" s="226" t="s">
        <v>779</v>
      </c>
      <c r="G66" s="330" t="s">
        <v>373</v>
      </c>
      <c r="H66" s="330"/>
      <c r="I66" s="330"/>
    </row>
    <row r="67" spans="1:9" ht="18" customHeight="1">
      <c r="A67" s="224">
        <v>1</v>
      </c>
      <c r="B67" s="227" t="s">
        <v>700</v>
      </c>
      <c r="C67" s="227" t="s">
        <v>269</v>
      </c>
      <c r="D67" s="227" t="s">
        <v>269</v>
      </c>
      <c r="E67" s="252">
        <v>6499</v>
      </c>
      <c r="F67" s="252">
        <v>5234</v>
      </c>
      <c r="G67" s="332" t="s">
        <v>780</v>
      </c>
      <c r="H67" s="332"/>
      <c r="I67" s="332"/>
    </row>
    <row r="68" spans="1:9" ht="18" customHeight="1">
      <c r="A68" s="225">
        <v>2</v>
      </c>
      <c r="B68" s="228" t="s">
        <v>702</v>
      </c>
      <c r="C68" s="253">
        <v>3157</v>
      </c>
      <c r="D68" s="253">
        <v>3217</v>
      </c>
      <c r="E68" s="253">
        <v>4674</v>
      </c>
      <c r="F68" s="253">
        <v>4750</v>
      </c>
      <c r="G68" s="347"/>
      <c r="H68" s="347"/>
      <c r="I68" s="347"/>
    </row>
    <row r="69" spans="1:9" ht="18" customHeight="1">
      <c r="A69" s="224">
        <v>3</v>
      </c>
      <c r="B69" s="227" t="s">
        <v>704</v>
      </c>
      <c r="C69" s="252">
        <v>5253</v>
      </c>
      <c r="D69" s="252">
        <v>5997</v>
      </c>
      <c r="E69" s="252">
        <v>5253</v>
      </c>
      <c r="F69" s="252">
        <v>5997</v>
      </c>
      <c r="G69" s="347"/>
      <c r="H69" s="347"/>
      <c r="I69" s="347"/>
    </row>
    <row r="70" spans="1:9" ht="18" customHeight="1">
      <c r="A70" s="225">
        <v>4</v>
      </c>
      <c r="B70" s="228" t="s">
        <v>706</v>
      </c>
      <c r="C70" s="253">
        <v>5833</v>
      </c>
      <c r="D70" s="253">
        <v>7304</v>
      </c>
      <c r="E70" s="253">
        <v>5833</v>
      </c>
      <c r="F70" s="253">
        <v>7304</v>
      </c>
      <c r="G70" s="347"/>
      <c r="H70" s="347"/>
      <c r="I70" s="347"/>
    </row>
    <row r="71" spans="1:9" ht="18" customHeight="1">
      <c r="A71" s="224">
        <v>5</v>
      </c>
      <c r="B71" s="227" t="s">
        <v>708</v>
      </c>
      <c r="C71" s="252">
        <v>6915</v>
      </c>
      <c r="D71" s="252">
        <v>8606</v>
      </c>
      <c r="E71" s="252">
        <v>6915</v>
      </c>
      <c r="F71" s="252">
        <v>8606</v>
      </c>
      <c r="G71" s="347"/>
      <c r="H71" s="347"/>
      <c r="I71" s="347"/>
    </row>
    <row r="72" spans="1:9" ht="18" customHeight="1">
      <c r="A72" s="225">
        <v>6</v>
      </c>
      <c r="B72" s="228" t="s">
        <v>710</v>
      </c>
      <c r="C72" s="253">
        <v>8397</v>
      </c>
      <c r="D72" s="253">
        <v>10589</v>
      </c>
      <c r="E72" s="253">
        <v>8397</v>
      </c>
      <c r="F72" s="253">
        <v>10589</v>
      </c>
      <c r="G72" s="347"/>
      <c r="H72" s="347"/>
      <c r="I72" s="347"/>
    </row>
    <row r="73" spans="1:9" ht="18" customHeight="1">
      <c r="A73" s="224">
        <v>7</v>
      </c>
      <c r="B73" s="227" t="s">
        <v>712</v>
      </c>
      <c r="C73" s="252">
        <v>8785</v>
      </c>
      <c r="D73" s="252">
        <v>12068</v>
      </c>
      <c r="E73" s="252">
        <v>8795</v>
      </c>
      <c r="F73" s="252">
        <v>12068</v>
      </c>
      <c r="G73" s="332" t="s">
        <v>781</v>
      </c>
      <c r="H73" s="332"/>
      <c r="I73" s="332"/>
    </row>
    <row r="74" spans="1:9" ht="18" customHeight="1">
      <c r="A74" s="225">
        <v>8</v>
      </c>
      <c r="B74" s="228" t="s">
        <v>714</v>
      </c>
      <c r="C74" s="253">
        <v>11304</v>
      </c>
      <c r="D74" s="253">
        <v>14951</v>
      </c>
      <c r="E74" s="253">
        <v>11304</v>
      </c>
      <c r="F74" s="253">
        <v>14951</v>
      </c>
      <c r="G74" s="347"/>
      <c r="H74" s="347"/>
      <c r="I74" s="347"/>
    </row>
    <row r="75" spans="1:9" ht="18" customHeight="1">
      <c r="A75" s="224">
        <v>9</v>
      </c>
      <c r="B75" s="227" t="s">
        <v>716</v>
      </c>
      <c r="C75" s="252">
        <v>14946</v>
      </c>
      <c r="D75" s="252">
        <v>19507</v>
      </c>
      <c r="E75" s="252">
        <v>14946</v>
      </c>
      <c r="F75" s="252">
        <v>19507</v>
      </c>
      <c r="G75" s="347"/>
      <c r="H75" s="347"/>
      <c r="I75" s="347"/>
    </row>
    <row r="76" spans="1:9" ht="18" customHeight="1">
      <c r="A76" s="225">
        <v>10</v>
      </c>
      <c r="B76" s="228" t="s">
        <v>718</v>
      </c>
      <c r="C76" s="253">
        <v>20128</v>
      </c>
      <c r="D76" s="253">
        <v>23729</v>
      </c>
      <c r="E76" s="253">
        <v>20128</v>
      </c>
      <c r="F76" s="253">
        <v>23729</v>
      </c>
      <c r="G76" s="347"/>
      <c r="H76" s="347"/>
      <c r="I76" s="347"/>
    </row>
    <row r="77" spans="1:9" ht="18" customHeight="1">
      <c r="A77" s="224">
        <v>11</v>
      </c>
      <c r="B77" s="227" t="s">
        <v>720</v>
      </c>
      <c r="C77" s="252">
        <v>24628</v>
      </c>
      <c r="D77" s="252">
        <v>28071</v>
      </c>
      <c r="E77" s="252">
        <v>24628</v>
      </c>
      <c r="F77" s="252">
        <v>28071</v>
      </c>
      <c r="G77" s="347"/>
      <c r="H77" s="347"/>
      <c r="I77" s="347"/>
    </row>
    <row r="78" spans="1:9" ht="18" customHeight="1">
      <c r="A78" s="225">
        <v>12</v>
      </c>
      <c r="B78" s="228" t="s">
        <v>722</v>
      </c>
      <c r="C78" s="253">
        <v>43786</v>
      </c>
      <c r="D78" s="253">
        <v>49985</v>
      </c>
      <c r="E78" s="253">
        <v>43786</v>
      </c>
      <c r="F78" s="253">
        <v>49985</v>
      </c>
      <c r="G78" s="331" t="s">
        <v>782</v>
      </c>
      <c r="H78" s="331"/>
      <c r="I78" s="331"/>
    </row>
    <row r="80" spans="1:9" ht="16" customHeight="1">
      <c r="A80" s="226" t="s">
        <v>681</v>
      </c>
      <c r="B80" s="226" t="s">
        <v>682</v>
      </c>
      <c r="C80" s="330" t="s">
        <v>683</v>
      </c>
      <c r="D80" s="330"/>
      <c r="E80" s="330"/>
      <c r="F80" s="330" t="s">
        <v>783</v>
      </c>
      <c r="G80" s="330"/>
      <c r="H80" s="330" t="s">
        <v>784</v>
      </c>
      <c r="I80" s="330"/>
    </row>
    <row r="81" spans="1:9" ht="28" customHeight="1">
      <c r="A81" s="234" t="s">
        <v>785</v>
      </c>
      <c r="B81" s="223" t="s">
        <v>786</v>
      </c>
      <c r="C81" s="346" t="e">
        <f>VLOOKUP(N6, $V$5:$BB$17, K6, FALSE)</f>
        <v>#N/A</v>
      </c>
      <c r="D81" s="336"/>
      <c r="E81" s="336"/>
      <c r="F81" s="336" t="s">
        <v>787</v>
      </c>
      <c r="G81" s="336"/>
      <c r="H81" s="336" t="s">
        <v>788</v>
      </c>
      <c r="I81" s="336"/>
    </row>
    <row r="82" spans="1:9" ht="28" customHeight="1">
      <c r="A82" s="243" t="s">
        <v>789</v>
      </c>
      <c r="B82" s="326" t="s">
        <v>790</v>
      </c>
      <c r="C82" s="326"/>
      <c r="D82" s="326"/>
      <c r="E82" s="326"/>
      <c r="F82" s="326"/>
      <c r="G82" s="326"/>
      <c r="H82" s="326"/>
      <c r="I82" s="326"/>
    </row>
    <row r="84" spans="1:9" ht="22" customHeight="1">
      <c r="A84" s="329" t="s">
        <v>791</v>
      </c>
      <c r="B84" s="329"/>
      <c r="C84" s="329"/>
      <c r="D84" s="329"/>
      <c r="E84" s="329"/>
      <c r="F84" s="329"/>
      <c r="G84" s="329"/>
      <c r="H84" s="329"/>
      <c r="I84" s="329"/>
    </row>
    <row r="85" spans="1:9" ht="18" customHeight="1">
      <c r="A85" s="337" t="s">
        <v>692</v>
      </c>
      <c r="B85" s="337"/>
      <c r="C85" s="337"/>
      <c r="D85" s="337"/>
      <c r="E85" s="337"/>
      <c r="F85" s="337"/>
      <c r="G85" s="337"/>
      <c r="H85" s="337"/>
      <c r="I85" s="337"/>
    </row>
    <row r="86" spans="1:9" ht="36" customHeight="1">
      <c r="A86" s="336" t="s">
        <v>792</v>
      </c>
      <c r="B86" s="336"/>
      <c r="C86" s="336"/>
      <c r="D86" s="336"/>
      <c r="E86" s="336"/>
      <c r="F86" s="336"/>
      <c r="G86" s="336"/>
      <c r="H86" s="336"/>
      <c r="I86" s="336"/>
    </row>
    <row r="87" spans="1:9" ht="16" customHeight="1">
      <c r="A87" s="226" t="s">
        <v>793</v>
      </c>
      <c r="B87" s="226" t="s">
        <v>794</v>
      </c>
      <c r="C87" s="330" t="s">
        <v>795</v>
      </c>
      <c r="D87" s="330"/>
      <c r="E87" s="330"/>
      <c r="F87" s="330" t="s">
        <v>796</v>
      </c>
      <c r="G87" s="330"/>
      <c r="H87" s="330" t="s">
        <v>797</v>
      </c>
      <c r="I87" s="330"/>
    </row>
    <row r="88" spans="1:9" ht="20" customHeight="1">
      <c r="A88" s="254">
        <v>1</v>
      </c>
      <c r="B88" s="232" t="s">
        <v>798</v>
      </c>
      <c r="C88" s="339" t="s">
        <v>799</v>
      </c>
      <c r="D88" s="339"/>
      <c r="E88" s="339"/>
      <c r="F88" s="339" t="s">
        <v>800</v>
      </c>
      <c r="G88" s="339"/>
      <c r="H88" s="367" t="s">
        <v>801</v>
      </c>
      <c r="I88" s="339"/>
    </row>
    <row r="89" spans="1:9" ht="20" customHeight="1">
      <c r="A89" s="236">
        <v>2</v>
      </c>
      <c r="B89" s="233" t="s">
        <v>802</v>
      </c>
      <c r="C89" s="335" t="s">
        <v>803</v>
      </c>
      <c r="D89" s="335"/>
      <c r="E89" s="335"/>
      <c r="F89" s="335" t="s">
        <v>804</v>
      </c>
      <c r="G89" s="335"/>
      <c r="H89" s="366" t="s">
        <v>801</v>
      </c>
      <c r="I89" s="335"/>
    </row>
    <row r="90" spans="1:9" ht="20" customHeight="1">
      <c r="A90" s="254">
        <v>3</v>
      </c>
      <c r="B90" s="232" t="s">
        <v>805</v>
      </c>
      <c r="C90" s="339" t="s">
        <v>806</v>
      </c>
      <c r="D90" s="339"/>
      <c r="E90" s="339"/>
      <c r="F90" s="339" t="s">
        <v>807</v>
      </c>
      <c r="G90" s="339"/>
      <c r="H90" s="367" t="s">
        <v>801</v>
      </c>
      <c r="I90" s="339"/>
    </row>
    <row r="91" spans="1:9" ht="20" customHeight="1">
      <c r="A91" s="236">
        <v>4</v>
      </c>
      <c r="B91" s="233" t="s">
        <v>808</v>
      </c>
      <c r="C91" s="335" t="s">
        <v>809</v>
      </c>
      <c r="D91" s="335"/>
      <c r="E91" s="335"/>
      <c r="F91" s="335" t="s">
        <v>810</v>
      </c>
      <c r="G91" s="335"/>
      <c r="H91" s="366" t="s">
        <v>811</v>
      </c>
      <c r="I91" s="335"/>
    </row>
    <row r="93" spans="1:9" ht="16" customHeight="1">
      <c r="A93" s="226" t="s">
        <v>681</v>
      </c>
      <c r="B93" s="226" t="s">
        <v>682</v>
      </c>
      <c r="C93" s="330" t="s">
        <v>683</v>
      </c>
      <c r="D93" s="330"/>
      <c r="E93" s="330"/>
      <c r="F93" s="330" t="s">
        <v>812</v>
      </c>
      <c r="G93" s="330"/>
      <c r="H93" s="330" t="s">
        <v>373</v>
      </c>
      <c r="I93" s="330"/>
    </row>
    <row r="94" spans="1:9" ht="36" customHeight="1">
      <c r="A94" s="234" t="s">
        <v>232</v>
      </c>
      <c r="B94" s="223" t="s">
        <v>813</v>
      </c>
      <c r="C94" s="346">
        <f>IF(AND(LEFT(D6,1)="F", G6="Married", L6&gt;17, L6&lt;P6), HLOOKUP(E6,$W$1:$AA$2,2,FALSE), 0)</f>
        <v>0</v>
      </c>
      <c r="D94" s="336"/>
      <c r="E94" s="336"/>
      <c r="F94" s="336" t="s">
        <v>814</v>
      </c>
      <c r="G94" s="336"/>
      <c r="H94" s="336" t="s">
        <v>815</v>
      </c>
      <c r="I94" s="336"/>
    </row>
    <row r="95" spans="1:9" ht="28" customHeight="1">
      <c r="A95" s="236" t="s">
        <v>256</v>
      </c>
      <c r="B95" s="233" t="s">
        <v>816</v>
      </c>
      <c r="C95" s="348" t="str">
        <f>IF(H6="DXB", 46, IF(H6="AUH", 51, ""))</f>
        <v/>
      </c>
      <c r="D95" s="335"/>
      <c r="E95" s="335"/>
      <c r="F95" s="335" t="s">
        <v>817</v>
      </c>
      <c r="G95" s="335"/>
      <c r="H95" s="335" t="s">
        <v>818</v>
      </c>
      <c r="I95" s="335"/>
    </row>
    <row r="96" spans="1:9" ht="28" customHeight="1">
      <c r="A96" s="243" t="s">
        <v>789</v>
      </c>
      <c r="B96" s="326" t="s">
        <v>819</v>
      </c>
      <c r="C96" s="326"/>
      <c r="D96" s="326"/>
      <c r="E96" s="326"/>
      <c r="F96" s="326"/>
      <c r="G96" s="326"/>
      <c r="H96" s="326"/>
      <c r="I96" s="326"/>
    </row>
    <row r="97" spans="1:9" ht="28" customHeight="1">
      <c r="A97" s="255" t="s">
        <v>820</v>
      </c>
      <c r="B97" s="365" t="s">
        <v>821</v>
      </c>
      <c r="C97" s="365"/>
      <c r="D97" s="365"/>
      <c r="E97" s="365"/>
      <c r="F97" s="365"/>
      <c r="G97" s="365"/>
      <c r="H97" s="365"/>
      <c r="I97" s="365"/>
    </row>
    <row r="99" spans="1:9" ht="22" customHeight="1">
      <c r="A99" s="329" t="s">
        <v>822</v>
      </c>
      <c r="B99" s="329"/>
      <c r="C99" s="329"/>
      <c r="D99" s="329"/>
      <c r="E99" s="329"/>
      <c r="F99" s="329"/>
      <c r="G99" s="329"/>
      <c r="H99" s="329"/>
      <c r="I99" s="329"/>
    </row>
    <row r="100" spans="1:9" ht="16" customHeight="1">
      <c r="A100" s="226" t="s">
        <v>823</v>
      </c>
      <c r="B100" s="226" t="s">
        <v>682</v>
      </c>
      <c r="C100" s="330" t="s">
        <v>683</v>
      </c>
      <c r="D100" s="330"/>
      <c r="E100" s="330"/>
      <c r="F100" s="330"/>
      <c r="G100" s="330"/>
      <c r="H100" s="330"/>
      <c r="I100" s="330"/>
    </row>
    <row r="101" spans="1:9" ht="24" customHeight="1">
      <c r="A101" s="234" t="s">
        <v>233</v>
      </c>
      <c r="B101" s="223" t="s">
        <v>824</v>
      </c>
      <c r="C101" s="346" t="str">
        <f>IF(M6="", "", O6 + Q6)</f>
        <v/>
      </c>
      <c r="D101" s="346"/>
      <c r="E101" s="346"/>
      <c r="F101" s="346"/>
      <c r="G101" s="346"/>
      <c r="H101" s="346"/>
      <c r="I101" s="346"/>
    </row>
    <row r="103" spans="1:9" ht="22" customHeight="1">
      <c r="A103" s="329" t="s">
        <v>830</v>
      </c>
      <c r="B103" s="329"/>
      <c r="C103" s="329"/>
      <c r="D103" s="329"/>
      <c r="E103" s="329"/>
      <c r="F103" s="329"/>
      <c r="G103" s="329"/>
      <c r="H103" s="329"/>
      <c r="I103" s="329"/>
    </row>
    <row r="104" spans="1:9" ht="16" customHeight="1">
      <c r="A104" s="330" t="s">
        <v>825</v>
      </c>
      <c r="B104" s="330"/>
      <c r="C104" s="330"/>
      <c r="D104" s="330"/>
      <c r="E104" s="330"/>
      <c r="F104" s="330"/>
      <c r="G104" s="330"/>
      <c r="H104" s="330"/>
      <c r="I104" s="330"/>
    </row>
    <row r="105" spans="1:9" ht="22" customHeight="1">
      <c r="A105" s="336" t="s">
        <v>827</v>
      </c>
      <c r="B105" s="336"/>
      <c r="C105" s="336"/>
      <c r="D105" s="336"/>
      <c r="E105" s="336"/>
      <c r="F105" s="336"/>
      <c r="G105" s="336"/>
      <c r="H105" s="336"/>
      <c r="I105" s="336"/>
    </row>
    <row r="106" spans="1:9" ht="22" customHeight="1">
      <c r="A106" s="256" t="s">
        <v>232</v>
      </c>
      <c r="B106" s="363" t="s">
        <v>828</v>
      </c>
      <c r="C106" s="363"/>
      <c r="D106" s="364">
        <v>20976</v>
      </c>
      <c r="E106" s="364"/>
      <c r="F106" s="363" t="s">
        <v>826</v>
      </c>
      <c r="G106" s="363"/>
      <c r="H106" s="362"/>
      <c r="I106" s="362"/>
    </row>
    <row r="107" spans="1:9" ht="28" customHeight="1">
      <c r="A107" s="248" t="s">
        <v>829</v>
      </c>
      <c r="B107" s="327" t="s">
        <v>831</v>
      </c>
      <c r="C107" s="327"/>
      <c r="D107" s="359">
        <v>165194</v>
      </c>
      <c r="E107" s="360"/>
      <c r="F107" s="327" t="s">
        <v>826</v>
      </c>
      <c r="G107" s="327"/>
      <c r="H107" s="327" t="s">
        <v>832</v>
      </c>
      <c r="I107" s="327"/>
    </row>
    <row r="108" spans="1:9" ht="28" customHeight="1">
      <c r="A108" s="236" t="s">
        <v>833</v>
      </c>
      <c r="B108" s="335" t="s">
        <v>834</v>
      </c>
      <c r="C108" s="335"/>
      <c r="D108" s="361">
        <v>629</v>
      </c>
      <c r="E108" s="361"/>
      <c r="F108" s="335" t="s">
        <v>826</v>
      </c>
      <c r="G108" s="335"/>
      <c r="H108" s="362"/>
      <c r="I108" s="362"/>
    </row>
    <row r="109" spans="1:9">
      <c r="A109" s="227" t="s">
        <v>180</v>
      </c>
      <c r="B109" s="332" t="s">
        <v>835</v>
      </c>
      <c r="C109" s="332"/>
      <c r="D109" s="357">
        <v>0</v>
      </c>
      <c r="E109" s="357"/>
      <c r="F109" s="332" t="s">
        <v>826</v>
      </c>
      <c r="G109" s="332"/>
      <c r="H109" s="332" t="s">
        <v>836</v>
      </c>
      <c r="I109" s="332"/>
    </row>
    <row r="110" spans="1:9">
      <c r="A110" s="228" t="s">
        <v>837</v>
      </c>
      <c r="B110" s="331" t="s">
        <v>838</v>
      </c>
      <c r="C110" s="331"/>
      <c r="D110" s="358">
        <v>8291.15</v>
      </c>
      <c r="E110" s="358"/>
      <c r="F110" s="331" t="s">
        <v>826</v>
      </c>
      <c r="G110" s="331"/>
      <c r="H110" s="331" t="s">
        <v>839</v>
      </c>
      <c r="I110" s="331"/>
    </row>
    <row r="111" spans="1:9">
      <c r="A111" s="257" t="s">
        <v>840</v>
      </c>
      <c r="B111" s="352" t="s">
        <v>841</v>
      </c>
      <c r="C111" s="352"/>
      <c r="D111" s="353">
        <v>174114.15</v>
      </c>
      <c r="E111" s="354"/>
      <c r="F111" s="352" t="s">
        <v>826</v>
      </c>
      <c r="G111" s="352"/>
      <c r="H111" s="352" t="s">
        <v>842</v>
      </c>
      <c r="I111" s="352"/>
    </row>
    <row r="113" spans="1:9" ht="22" customHeight="1">
      <c r="A113" s="355" t="s">
        <v>843</v>
      </c>
      <c r="B113" s="347"/>
      <c r="C113" s="347"/>
      <c r="D113" s="347"/>
      <c r="E113" s="347"/>
      <c r="F113" s="347"/>
      <c r="G113" s="347"/>
      <c r="H113" s="347"/>
      <c r="I113" s="347"/>
    </row>
    <row r="114" spans="1:9">
      <c r="A114" s="258" t="s">
        <v>844</v>
      </c>
      <c r="B114" s="258" t="s">
        <v>245</v>
      </c>
      <c r="C114" s="258" t="s">
        <v>213</v>
      </c>
      <c r="D114" s="258" t="s">
        <v>247</v>
      </c>
      <c r="E114" s="258" t="s">
        <v>845</v>
      </c>
      <c r="F114" s="258" t="s">
        <v>846</v>
      </c>
      <c r="G114" s="258" t="s">
        <v>734</v>
      </c>
      <c r="H114" s="258" t="s">
        <v>847</v>
      </c>
      <c r="I114" s="258" t="s">
        <v>848</v>
      </c>
    </row>
    <row r="115" spans="1:9" ht="18" customHeight="1">
      <c r="A115" s="230">
        <v>1</v>
      </c>
      <c r="B115" s="227" t="s">
        <v>263</v>
      </c>
      <c r="C115" s="227" t="s">
        <v>19</v>
      </c>
      <c r="D115" s="227" t="s">
        <v>265</v>
      </c>
      <c r="E115" s="227">
        <v>42</v>
      </c>
      <c r="F115" s="227" t="s">
        <v>36</v>
      </c>
      <c r="G115" s="227" t="s">
        <v>738</v>
      </c>
      <c r="H115" s="227">
        <v>8785</v>
      </c>
      <c r="I115" s="227" t="s">
        <v>849</v>
      </c>
    </row>
    <row r="116" spans="1:9" ht="18" customHeight="1">
      <c r="A116" s="260">
        <v>2</v>
      </c>
      <c r="B116" s="259" t="s">
        <v>270</v>
      </c>
      <c r="C116" s="259" t="s">
        <v>20</v>
      </c>
      <c r="D116" s="259" t="s">
        <v>272</v>
      </c>
      <c r="E116" s="259">
        <v>41</v>
      </c>
      <c r="F116" s="259" t="s">
        <v>36</v>
      </c>
      <c r="G116" s="259" t="s">
        <v>747</v>
      </c>
      <c r="H116" s="259">
        <v>12068</v>
      </c>
      <c r="I116" s="261">
        <v>5244</v>
      </c>
    </row>
    <row r="117" spans="1:9" ht="18" customHeight="1">
      <c r="A117" s="230">
        <v>3</v>
      </c>
      <c r="B117" s="227" t="s">
        <v>274</v>
      </c>
      <c r="C117" s="227" t="s">
        <v>20</v>
      </c>
      <c r="D117" s="227" t="s">
        <v>275</v>
      </c>
      <c r="E117" s="227">
        <v>12</v>
      </c>
      <c r="F117" s="262">
        <v>46343</v>
      </c>
      <c r="G117" s="227" t="s">
        <v>747</v>
      </c>
      <c r="H117" s="227">
        <v>4750</v>
      </c>
      <c r="I117" s="227" t="s">
        <v>849</v>
      </c>
    </row>
    <row r="118" spans="1:9" ht="18" customHeight="1">
      <c r="A118" s="229">
        <v>4</v>
      </c>
      <c r="B118" s="228" t="s">
        <v>278</v>
      </c>
      <c r="C118" s="228" t="s">
        <v>20</v>
      </c>
      <c r="D118" s="228" t="s">
        <v>275</v>
      </c>
      <c r="E118" s="228">
        <v>7</v>
      </c>
      <c r="F118" s="228" t="s">
        <v>24</v>
      </c>
      <c r="G118" s="228" t="s">
        <v>747</v>
      </c>
      <c r="H118" s="228">
        <v>5234</v>
      </c>
      <c r="I118" s="228" t="s">
        <v>849</v>
      </c>
    </row>
    <row r="119" spans="1:9" ht="18" customHeight="1">
      <c r="A119" s="230">
        <v>5</v>
      </c>
      <c r="B119" s="227" t="s">
        <v>279</v>
      </c>
      <c r="C119" s="227" t="s">
        <v>20</v>
      </c>
      <c r="D119" s="227" t="s">
        <v>275</v>
      </c>
      <c r="E119" s="227">
        <v>5</v>
      </c>
      <c r="F119" s="227" t="s">
        <v>24</v>
      </c>
      <c r="G119" s="227" t="s">
        <v>747</v>
      </c>
      <c r="H119" s="227">
        <v>5234</v>
      </c>
      <c r="I119" s="227" t="s">
        <v>849</v>
      </c>
    </row>
    <row r="120" spans="1:9" ht="18" customHeight="1">
      <c r="A120" s="260">
        <v>6</v>
      </c>
      <c r="B120" s="259" t="s">
        <v>280</v>
      </c>
      <c r="C120" s="259" t="s">
        <v>20</v>
      </c>
      <c r="D120" s="259" t="s">
        <v>265</v>
      </c>
      <c r="E120" s="259">
        <v>29</v>
      </c>
      <c r="F120" s="259" t="s">
        <v>30</v>
      </c>
      <c r="G120" s="259" t="s">
        <v>741</v>
      </c>
      <c r="H120" s="259">
        <v>7304</v>
      </c>
      <c r="I120" s="261">
        <v>5244</v>
      </c>
    </row>
    <row r="121" spans="1:9" ht="18" customHeight="1">
      <c r="A121" s="230">
        <v>7</v>
      </c>
      <c r="B121" s="227" t="s">
        <v>281</v>
      </c>
      <c r="C121" s="227" t="s">
        <v>20</v>
      </c>
      <c r="D121" s="227" t="s">
        <v>275</v>
      </c>
      <c r="E121" s="227">
        <v>0</v>
      </c>
      <c r="F121" s="227" t="s">
        <v>24</v>
      </c>
      <c r="G121" s="227" t="s">
        <v>747</v>
      </c>
      <c r="H121" s="227">
        <v>5234</v>
      </c>
      <c r="I121" s="227" t="s">
        <v>849</v>
      </c>
    </row>
    <row r="122" spans="1:9" ht="18" customHeight="1">
      <c r="A122" s="229">
        <v>8</v>
      </c>
      <c r="B122" s="228" t="s">
        <v>282</v>
      </c>
      <c r="C122" s="228" t="s">
        <v>19</v>
      </c>
      <c r="D122" s="228" t="s">
        <v>265</v>
      </c>
      <c r="E122" s="228">
        <v>37</v>
      </c>
      <c r="F122" s="228" t="s">
        <v>34</v>
      </c>
      <c r="G122" s="228" t="s">
        <v>738</v>
      </c>
      <c r="H122" s="228">
        <v>8397</v>
      </c>
      <c r="I122" s="228" t="s">
        <v>849</v>
      </c>
    </row>
    <row r="123" spans="1:9" ht="18" customHeight="1">
      <c r="A123" s="260">
        <v>9</v>
      </c>
      <c r="B123" s="259" t="s">
        <v>283</v>
      </c>
      <c r="C123" s="259" t="s">
        <v>20</v>
      </c>
      <c r="D123" s="259" t="s">
        <v>272</v>
      </c>
      <c r="E123" s="259">
        <v>30</v>
      </c>
      <c r="F123" s="259" t="s">
        <v>30</v>
      </c>
      <c r="G123" s="259" t="s">
        <v>747</v>
      </c>
      <c r="H123" s="259">
        <v>7304</v>
      </c>
      <c r="I123" s="261">
        <v>5244</v>
      </c>
    </row>
    <row r="124" spans="1:9" ht="18" customHeight="1">
      <c r="A124" s="229">
        <v>10</v>
      </c>
      <c r="B124" s="228" t="s">
        <v>284</v>
      </c>
      <c r="C124" s="228" t="s">
        <v>20</v>
      </c>
      <c r="D124" s="228" t="s">
        <v>275</v>
      </c>
      <c r="E124" s="228">
        <v>6</v>
      </c>
      <c r="F124" s="228" t="s">
        <v>24</v>
      </c>
      <c r="G124" s="228" t="s">
        <v>747</v>
      </c>
      <c r="H124" s="228">
        <v>5234</v>
      </c>
      <c r="I124" s="228" t="s">
        <v>849</v>
      </c>
    </row>
    <row r="125" spans="1:9" ht="18" customHeight="1">
      <c r="A125" s="230">
        <v>11</v>
      </c>
      <c r="B125" s="227" t="s">
        <v>285</v>
      </c>
      <c r="C125" s="227" t="s">
        <v>20</v>
      </c>
      <c r="D125" s="227" t="s">
        <v>275</v>
      </c>
      <c r="E125" s="227">
        <v>1</v>
      </c>
      <c r="F125" s="227" t="s">
        <v>24</v>
      </c>
      <c r="G125" s="227" t="s">
        <v>747</v>
      </c>
      <c r="H125" s="227">
        <v>5234</v>
      </c>
      <c r="I125" s="227" t="s">
        <v>849</v>
      </c>
    </row>
    <row r="126" spans="1:9" ht="18" customHeight="1">
      <c r="A126" s="229">
        <v>12</v>
      </c>
      <c r="B126" s="228" t="s">
        <v>286</v>
      </c>
      <c r="C126" s="228" t="s">
        <v>19</v>
      </c>
      <c r="D126" s="228" t="s">
        <v>265</v>
      </c>
      <c r="E126" s="228">
        <v>25</v>
      </c>
      <c r="F126" s="228" t="s">
        <v>28</v>
      </c>
      <c r="G126" s="228" t="s">
        <v>738</v>
      </c>
      <c r="H126" s="228">
        <v>5253</v>
      </c>
      <c r="I126" s="228" t="s">
        <v>849</v>
      </c>
    </row>
    <row r="127" spans="1:9" ht="18" customHeight="1">
      <c r="A127" s="230">
        <v>13</v>
      </c>
      <c r="B127" s="227" t="s">
        <v>287</v>
      </c>
      <c r="C127" s="227" t="s">
        <v>19</v>
      </c>
      <c r="D127" s="227" t="s">
        <v>265</v>
      </c>
      <c r="E127" s="227">
        <v>66</v>
      </c>
      <c r="F127" s="227" t="s">
        <v>44</v>
      </c>
      <c r="G127" s="227" t="s">
        <v>738</v>
      </c>
      <c r="H127" s="227">
        <v>24628</v>
      </c>
      <c r="I127" s="227" t="s">
        <v>849</v>
      </c>
    </row>
    <row r="128" spans="1:9" ht="18" customHeight="1">
      <c r="A128" s="229">
        <v>14</v>
      </c>
      <c r="B128" s="228" t="s">
        <v>288</v>
      </c>
      <c r="C128" s="228" t="s">
        <v>20</v>
      </c>
      <c r="D128" s="228" t="s">
        <v>272</v>
      </c>
      <c r="E128" s="228">
        <v>54</v>
      </c>
      <c r="F128" s="228" t="s">
        <v>40</v>
      </c>
      <c r="G128" s="228" t="s">
        <v>747</v>
      </c>
      <c r="H128" s="228">
        <v>19507</v>
      </c>
      <c r="I128" s="228" t="s">
        <v>849</v>
      </c>
    </row>
    <row r="129" spans="1:9" ht="18" customHeight="1">
      <c r="A129" s="230">
        <v>15</v>
      </c>
      <c r="B129" s="227" t="s">
        <v>290</v>
      </c>
      <c r="C129" s="227" t="s">
        <v>19</v>
      </c>
      <c r="D129" s="227" t="s">
        <v>265</v>
      </c>
      <c r="E129" s="227">
        <v>31</v>
      </c>
      <c r="F129" s="227" t="s">
        <v>32</v>
      </c>
      <c r="G129" s="227" t="s">
        <v>738</v>
      </c>
      <c r="H129" s="227">
        <v>6915</v>
      </c>
      <c r="I129" s="227" t="s">
        <v>849</v>
      </c>
    </row>
    <row r="130" spans="1:9" ht="18" customHeight="1">
      <c r="A130" s="260">
        <v>16</v>
      </c>
      <c r="B130" s="259" t="s">
        <v>292</v>
      </c>
      <c r="C130" s="259" t="s">
        <v>20</v>
      </c>
      <c r="D130" s="259" t="s">
        <v>272</v>
      </c>
      <c r="E130" s="259">
        <v>36</v>
      </c>
      <c r="F130" s="259" t="s">
        <v>34</v>
      </c>
      <c r="G130" s="259" t="s">
        <v>747</v>
      </c>
      <c r="H130" s="259">
        <v>10589</v>
      </c>
      <c r="I130" s="261">
        <v>5244</v>
      </c>
    </row>
    <row r="131" spans="1:9" ht="18" customHeight="1">
      <c r="A131" s="230">
        <v>17</v>
      </c>
      <c r="B131" s="227" t="s">
        <v>293</v>
      </c>
      <c r="C131" s="227" t="s">
        <v>19</v>
      </c>
      <c r="D131" s="227" t="s">
        <v>265</v>
      </c>
      <c r="E131" s="227">
        <v>35</v>
      </c>
      <c r="F131" s="227" t="s">
        <v>30</v>
      </c>
      <c r="G131" s="227" t="s">
        <v>738</v>
      </c>
      <c r="H131" s="227">
        <v>5833</v>
      </c>
      <c r="I131" s="227" t="s">
        <v>849</v>
      </c>
    </row>
    <row r="132" spans="1:9">
      <c r="A132" s="258" t="s">
        <v>850</v>
      </c>
      <c r="B132" s="356" t="s">
        <v>851</v>
      </c>
      <c r="C132" s="356"/>
      <c r="D132" s="356"/>
      <c r="E132" s="356"/>
      <c r="F132" s="356"/>
      <c r="G132" s="356"/>
      <c r="H132" s="258">
        <v>144218</v>
      </c>
      <c r="I132" s="258">
        <v>20976</v>
      </c>
    </row>
    <row r="133" spans="1:9" ht="24" customHeight="1">
      <c r="A133" s="350" t="s">
        <v>852</v>
      </c>
      <c r="B133" s="347"/>
      <c r="C133" s="347"/>
      <c r="D133" s="347"/>
      <c r="E133" s="347"/>
      <c r="F133" s="347"/>
      <c r="G133" s="347"/>
      <c r="H133" s="347"/>
      <c r="I133" s="347"/>
    </row>
    <row r="135" spans="1:9" ht="22" customHeight="1">
      <c r="A135" s="351" t="s">
        <v>853</v>
      </c>
      <c r="B135" s="347"/>
      <c r="C135" s="347"/>
      <c r="D135" s="347"/>
      <c r="E135" s="347"/>
      <c r="F135" s="347"/>
      <c r="G135" s="347"/>
      <c r="H135" s="347"/>
      <c r="I135" s="347"/>
    </row>
    <row r="136" spans="1:9">
      <c r="A136" s="226" t="s">
        <v>854</v>
      </c>
      <c r="B136" s="226" t="s">
        <v>626</v>
      </c>
      <c r="C136" s="330" t="s">
        <v>354</v>
      </c>
      <c r="D136" s="330"/>
      <c r="E136" s="330"/>
      <c r="F136" s="330"/>
      <c r="G136" s="330"/>
      <c r="H136" s="330"/>
      <c r="I136" s="330"/>
    </row>
    <row r="137" spans="1:9" ht="20" customHeight="1">
      <c r="A137" s="263" t="s">
        <v>855</v>
      </c>
      <c r="B137" s="254" t="s">
        <v>856</v>
      </c>
      <c r="C137" s="339" t="s">
        <v>857</v>
      </c>
      <c r="D137" s="339"/>
      <c r="E137" s="339"/>
      <c r="F137" s="339"/>
      <c r="G137" s="339"/>
      <c r="H137" s="339"/>
      <c r="I137" s="339"/>
    </row>
    <row r="138" spans="1:9" ht="20" customHeight="1">
      <c r="A138" s="240" t="s">
        <v>858</v>
      </c>
      <c r="B138" s="236" t="s">
        <v>859</v>
      </c>
      <c r="C138" s="335" t="s">
        <v>860</v>
      </c>
      <c r="D138" s="335"/>
      <c r="E138" s="335"/>
      <c r="F138" s="335"/>
      <c r="G138" s="335"/>
      <c r="H138" s="335"/>
      <c r="I138" s="335"/>
    </row>
    <row r="139" spans="1:9" ht="20" customHeight="1">
      <c r="A139" s="263" t="s">
        <v>861</v>
      </c>
      <c r="B139" s="254" t="s">
        <v>862</v>
      </c>
      <c r="C139" s="339" t="s">
        <v>863</v>
      </c>
      <c r="D139" s="339"/>
      <c r="E139" s="339"/>
      <c r="F139" s="339"/>
      <c r="G139" s="339"/>
      <c r="H139" s="339"/>
      <c r="I139" s="339"/>
    </row>
    <row r="140" spans="1:9" ht="20" customHeight="1">
      <c r="A140" s="240" t="s">
        <v>864</v>
      </c>
      <c r="B140" s="236" t="s">
        <v>865</v>
      </c>
      <c r="C140" s="335" t="s">
        <v>866</v>
      </c>
      <c r="D140" s="335"/>
      <c r="E140" s="335"/>
      <c r="F140" s="335"/>
      <c r="G140" s="335"/>
      <c r="H140" s="335"/>
      <c r="I140" s="335"/>
    </row>
    <row r="141" spans="1:9" ht="20" customHeight="1">
      <c r="A141" s="263" t="s">
        <v>867</v>
      </c>
      <c r="B141" s="254" t="s">
        <v>868</v>
      </c>
      <c r="C141" s="339" t="s">
        <v>869</v>
      </c>
      <c r="D141" s="339"/>
      <c r="E141" s="339"/>
      <c r="F141" s="339"/>
      <c r="G141" s="339"/>
      <c r="H141" s="339"/>
      <c r="I141" s="339"/>
    </row>
    <row r="142" spans="1:9" ht="20" customHeight="1">
      <c r="A142" s="240" t="s">
        <v>870</v>
      </c>
      <c r="B142" s="236" t="s">
        <v>871</v>
      </c>
      <c r="C142" s="335" t="s">
        <v>872</v>
      </c>
      <c r="D142" s="335"/>
      <c r="E142" s="335"/>
      <c r="F142" s="335"/>
      <c r="G142" s="335"/>
      <c r="H142" s="335"/>
      <c r="I142" s="335"/>
    </row>
    <row r="143" spans="1:9" ht="20" customHeight="1">
      <c r="A143" s="263" t="s">
        <v>873</v>
      </c>
      <c r="B143" s="254" t="s">
        <v>874</v>
      </c>
      <c r="C143" s="339" t="s">
        <v>875</v>
      </c>
      <c r="D143" s="339"/>
      <c r="E143" s="339"/>
      <c r="F143" s="339"/>
      <c r="G143" s="339"/>
      <c r="H143" s="339"/>
      <c r="I143" s="339"/>
    </row>
    <row r="144" spans="1:9" ht="20" customHeight="1">
      <c r="A144" s="240" t="s">
        <v>876</v>
      </c>
      <c r="B144" s="236" t="s">
        <v>877</v>
      </c>
      <c r="C144" s="335" t="s">
        <v>878</v>
      </c>
      <c r="D144" s="335"/>
      <c r="E144" s="335"/>
      <c r="F144" s="335"/>
      <c r="G144" s="335"/>
      <c r="H144" s="335"/>
      <c r="I144" s="335"/>
    </row>
    <row r="146" spans="1:9" ht="22" customHeight="1">
      <c r="A146" s="349" t="s">
        <v>879</v>
      </c>
      <c r="B146" s="347"/>
      <c r="C146" s="347"/>
      <c r="D146" s="347"/>
      <c r="E146" s="347"/>
      <c r="F146" s="347"/>
      <c r="G146" s="347"/>
      <c r="H146" s="347"/>
      <c r="I146" s="347"/>
    </row>
    <row r="147" spans="1:9">
      <c r="A147" s="226" t="s">
        <v>880</v>
      </c>
      <c r="B147" s="226" t="s">
        <v>881</v>
      </c>
      <c r="C147" s="330" t="s">
        <v>683</v>
      </c>
      <c r="D147" s="330"/>
      <c r="E147" s="330"/>
      <c r="F147" s="330"/>
      <c r="G147" s="330" t="s">
        <v>882</v>
      </c>
      <c r="H147" s="330"/>
      <c r="I147" s="330"/>
    </row>
    <row r="148" spans="1:9" ht="28" customHeight="1">
      <c r="A148" s="234" t="s">
        <v>883</v>
      </c>
      <c r="B148" s="234" t="s">
        <v>251</v>
      </c>
      <c r="C148" s="346" t="str">
        <f>CONCATENATE(E6, IF(D6="MALE","M","F"), IF(F6="Employee","E","D"))</f>
        <v>FD</v>
      </c>
      <c r="D148" s="336"/>
      <c r="E148" s="336"/>
      <c r="F148" s="336"/>
      <c r="G148" s="336" t="s">
        <v>884</v>
      </c>
      <c r="H148" s="336"/>
      <c r="I148" s="336"/>
    </row>
    <row r="149" spans="1:9" ht="28" customHeight="1">
      <c r="A149" s="236" t="s">
        <v>885</v>
      </c>
      <c r="B149" s="236" t="s">
        <v>770</v>
      </c>
      <c r="C149" s="348" t="e">
        <f>VLOOKUP(J6, $Y$19:$Z$50, 2, FALSE)</f>
        <v>#N/A</v>
      </c>
      <c r="D149" s="335"/>
      <c r="E149" s="335"/>
      <c r="F149" s="335"/>
      <c r="G149" s="335" t="s">
        <v>886</v>
      </c>
      <c r="H149" s="335"/>
      <c r="I149" s="335"/>
    </row>
    <row r="150" spans="1:9" ht="28" customHeight="1">
      <c r="A150" s="234" t="s">
        <v>887</v>
      </c>
      <c r="B150" s="234" t="s">
        <v>253</v>
      </c>
      <c r="C150" s="346" t="e">
        <f>DATEDIF(C6, 'Premium Table'!$B$6, "Y")</f>
        <v>#VALUE!</v>
      </c>
      <c r="D150" s="336"/>
      <c r="E150" s="336"/>
      <c r="F150" s="336"/>
      <c r="G150" s="336" t="s">
        <v>888</v>
      </c>
      <c r="H150" s="336"/>
      <c r="I150" s="336"/>
    </row>
    <row r="151" spans="1:9" ht="28" customHeight="1">
      <c r="A151" s="236" t="s">
        <v>289</v>
      </c>
      <c r="B151" s="236" t="s">
        <v>254</v>
      </c>
      <c r="C151" s="348" t="e">
        <f>IF(H6="DXB", VLOOKUP(L6,$V$55:$W$154,2,FALSE), VLOOKUP(L6,$V$55:$X$154,3,FALSE))</f>
        <v>#N/A</v>
      </c>
      <c r="D151" s="335"/>
      <c r="E151" s="335"/>
      <c r="F151" s="335"/>
      <c r="G151" s="335" t="s">
        <v>889</v>
      </c>
      <c r="H151" s="335"/>
      <c r="I151" s="335"/>
    </row>
    <row r="152" spans="1:9" ht="28" customHeight="1">
      <c r="A152" s="234" t="s">
        <v>890</v>
      </c>
      <c r="B152" s="234" t="s">
        <v>255</v>
      </c>
      <c r="C152" s="346" t="e">
        <f>VLOOKUP(M6, DXBAgeBr, 3, FALSE)</f>
        <v>#N/A</v>
      </c>
      <c r="D152" s="336"/>
      <c r="E152" s="336"/>
      <c r="F152" s="336"/>
      <c r="G152" s="336" t="s">
        <v>891</v>
      </c>
      <c r="H152" s="336"/>
      <c r="I152" s="336"/>
    </row>
    <row r="153" spans="1:9" ht="28" customHeight="1">
      <c r="A153" s="236" t="s">
        <v>892</v>
      </c>
      <c r="B153" s="236" t="s">
        <v>785</v>
      </c>
      <c r="C153" s="348" t="e">
        <f>VLOOKUP(N6, $V$5:$BB$17, K6, FALSE)</f>
        <v>#N/A</v>
      </c>
      <c r="D153" s="335"/>
      <c r="E153" s="335"/>
      <c r="F153" s="335"/>
      <c r="G153" s="335" t="s">
        <v>893</v>
      </c>
      <c r="H153" s="335"/>
      <c r="I153" s="335"/>
    </row>
    <row r="154" spans="1:9" ht="28" customHeight="1">
      <c r="A154" s="234" t="s">
        <v>894</v>
      </c>
      <c r="B154" s="234" t="s">
        <v>256</v>
      </c>
      <c r="C154" s="346" t="str">
        <f>IF(H6="DXB", 46, IF(H6="AUH", 51, ""))</f>
        <v/>
      </c>
      <c r="D154" s="336"/>
      <c r="E154" s="336"/>
      <c r="F154" s="336"/>
      <c r="G154" s="336" t="s">
        <v>895</v>
      </c>
      <c r="H154" s="336"/>
      <c r="I154" s="336"/>
    </row>
    <row r="155" spans="1:9" ht="28" customHeight="1">
      <c r="A155" s="236" t="s">
        <v>896</v>
      </c>
      <c r="B155" s="236" t="s">
        <v>232</v>
      </c>
      <c r="C155" s="348">
        <f>IF(AND(LEFT(D6,1)="F", G6="Married", L6&gt;17, L6&lt;P6), HLOOKUP(E6,$W$1:$AA$2,2,FALSE), 0)</f>
        <v>0</v>
      </c>
      <c r="D155" s="335"/>
      <c r="E155" s="335"/>
      <c r="F155" s="335"/>
      <c r="G155" s="335" t="s">
        <v>897</v>
      </c>
      <c r="H155" s="335"/>
      <c r="I155" s="335"/>
    </row>
    <row r="156" spans="1:9" ht="28" customHeight="1">
      <c r="A156" s="234" t="s">
        <v>898</v>
      </c>
      <c r="B156" s="234" t="s">
        <v>233</v>
      </c>
      <c r="C156" s="346">
        <f>O6 + Q6</f>
        <v>0</v>
      </c>
      <c r="D156" s="336"/>
      <c r="E156" s="336"/>
      <c r="F156" s="336"/>
      <c r="G156" s="336" t="s">
        <v>899</v>
      </c>
      <c r="H156" s="336"/>
      <c r="I156" s="336"/>
    </row>
    <row r="158" spans="1:9" ht="16" customHeight="1">
      <c r="A158" s="328" t="s">
        <v>900</v>
      </c>
      <c r="B158" s="347"/>
      <c r="C158" s="347"/>
      <c r="D158" s="347"/>
      <c r="E158" s="347"/>
      <c r="F158" s="347"/>
      <c r="G158" s="347"/>
      <c r="H158" s="347"/>
      <c r="I158" s="347"/>
    </row>
  </sheetData>
  <mergeCells count="180">
    <mergeCell ref="A1:I1"/>
    <mergeCell ref="A2:I2"/>
    <mergeCell ref="A4:I4"/>
    <mergeCell ref="C5:I5"/>
    <mergeCell ref="C6:I6"/>
    <mergeCell ref="C7:I7"/>
    <mergeCell ref="A15:I15"/>
    <mergeCell ref="C16:E16"/>
    <mergeCell ref="F16:G16"/>
    <mergeCell ref="C17:E17"/>
    <mergeCell ref="F17:G17"/>
    <mergeCell ref="B18:I18"/>
    <mergeCell ref="C8:I8"/>
    <mergeCell ref="C9:I9"/>
    <mergeCell ref="C10:I10"/>
    <mergeCell ref="C11:I11"/>
    <mergeCell ref="A13:I13"/>
    <mergeCell ref="A14:I14"/>
    <mergeCell ref="C39:E39"/>
    <mergeCell ref="F39:I39"/>
    <mergeCell ref="A41:I41"/>
    <mergeCell ref="A42:I42"/>
    <mergeCell ref="A43:I43"/>
    <mergeCell ref="F44:G44"/>
    <mergeCell ref="H44:I44"/>
    <mergeCell ref="A20:I20"/>
    <mergeCell ref="A21:I21"/>
    <mergeCell ref="A22:I22"/>
    <mergeCell ref="A23:C23"/>
    <mergeCell ref="E23:G23"/>
    <mergeCell ref="C38:E38"/>
    <mergeCell ref="F38:I38"/>
    <mergeCell ref="F48:G48"/>
    <mergeCell ref="H48:I48"/>
    <mergeCell ref="F49:G49"/>
    <mergeCell ref="H49:I49"/>
    <mergeCell ref="F50:G50"/>
    <mergeCell ref="H50:I50"/>
    <mergeCell ref="F45:G45"/>
    <mergeCell ref="H45:I45"/>
    <mergeCell ref="F46:G46"/>
    <mergeCell ref="H46:I46"/>
    <mergeCell ref="F47:G47"/>
    <mergeCell ref="H47:I47"/>
    <mergeCell ref="F54:G54"/>
    <mergeCell ref="H54:I54"/>
    <mergeCell ref="F55:G55"/>
    <mergeCell ref="H55:I55"/>
    <mergeCell ref="F56:G56"/>
    <mergeCell ref="H56:I56"/>
    <mergeCell ref="F51:G51"/>
    <mergeCell ref="H51:I51"/>
    <mergeCell ref="F52:G52"/>
    <mergeCell ref="H52:I52"/>
    <mergeCell ref="F53:G53"/>
    <mergeCell ref="H53:I53"/>
    <mergeCell ref="A62:I62"/>
    <mergeCell ref="A63:I63"/>
    <mergeCell ref="A64:I64"/>
    <mergeCell ref="A65:I65"/>
    <mergeCell ref="G66:I66"/>
    <mergeCell ref="G67:I67"/>
    <mergeCell ref="C58:E58"/>
    <mergeCell ref="F58:I58"/>
    <mergeCell ref="C59:E59"/>
    <mergeCell ref="F59:I59"/>
    <mergeCell ref="C60:E60"/>
    <mergeCell ref="F60:I60"/>
    <mergeCell ref="G74:I74"/>
    <mergeCell ref="G75:I75"/>
    <mergeCell ref="G76:I76"/>
    <mergeCell ref="G77:I77"/>
    <mergeCell ref="G78:I78"/>
    <mergeCell ref="C80:E80"/>
    <mergeCell ref="F80:G80"/>
    <mergeCell ref="H80:I80"/>
    <mergeCell ref="G68:I68"/>
    <mergeCell ref="G69:I69"/>
    <mergeCell ref="G70:I70"/>
    <mergeCell ref="G71:I71"/>
    <mergeCell ref="G72:I72"/>
    <mergeCell ref="G73:I73"/>
    <mergeCell ref="A86:I86"/>
    <mergeCell ref="C87:E87"/>
    <mergeCell ref="F87:G87"/>
    <mergeCell ref="H87:I87"/>
    <mergeCell ref="C88:E88"/>
    <mergeCell ref="F88:G88"/>
    <mergeCell ref="H88:I88"/>
    <mergeCell ref="C81:E81"/>
    <mergeCell ref="F81:G81"/>
    <mergeCell ref="H81:I81"/>
    <mergeCell ref="B82:I82"/>
    <mergeCell ref="A84:I84"/>
    <mergeCell ref="A85:I85"/>
    <mergeCell ref="C91:E91"/>
    <mergeCell ref="F91:G91"/>
    <mergeCell ref="H91:I91"/>
    <mergeCell ref="C93:E93"/>
    <mergeCell ref="F93:G93"/>
    <mergeCell ref="H93:I93"/>
    <mergeCell ref="C89:E89"/>
    <mergeCell ref="F89:G89"/>
    <mergeCell ref="H89:I89"/>
    <mergeCell ref="C90:E90"/>
    <mergeCell ref="F90:G90"/>
    <mergeCell ref="H90:I90"/>
    <mergeCell ref="B96:I96"/>
    <mergeCell ref="B97:I97"/>
    <mergeCell ref="A99:I99"/>
    <mergeCell ref="C100:I100"/>
    <mergeCell ref="C101:I101"/>
    <mergeCell ref="C94:E94"/>
    <mergeCell ref="F94:G94"/>
    <mergeCell ref="H94:I94"/>
    <mergeCell ref="C95:E95"/>
    <mergeCell ref="F95:G95"/>
    <mergeCell ref="H95:I95"/>
    <mergeCell ref="B107:C107"/>
    <mergeCell ref="D107:E107"/>
    <mergeCell ref="F107:G107"/>
    <mergeCell ref="H107:I107"/>
    <mergeCell ref="B108:C108"/>
    <mergeCell ref="D108:E108"/>
    <mergeCell ref="F108:G108"/>
    <mergeCell ref="H108:I108"/>
    <mergeCell ref="A103:I103"/>
    <mergeCell ref="A104:I104"/>
    <mergeCell ref="A105:I105"/>
    <mergeCell ref="B106:C106"/>
    <mergeCell ref="D106:E106"/>
    <mergeCell ref="F106:G106"/>
    <mergeCell ref="H106:I106"/>
    <mergeCell ref="B111:C111"/>
    <mergeCell ref="D111:E111"/>
    <mergeCell ref="F111:G111"/>
    <mergeCell ref="H111:I111"/>
    <mergeCell ref="A113:I113"/>
    <mergeCell ref="B132:G132"/>
    <mergeCell ref="B109:C109"/>
    <mergeCell ref="D109:E109"/>
    <mergeCell ref="F109:G109"/>
    <mergeCell ref="H109:I109"/>
    <mergeCell ref="B110:C110"/>
    <mergeCell ref="D110:E110"/>
    <mergeCell ref="F110:G110"/>
    <mergeCell ref="H110:I110"/>
    <mergeCell ref="C140:I140"/>
    <mergeCell ref="C141:I141"/>
    <mergeCell ref="C142:I142"/>
    <mergeCell ref="C143:I143"/>
    <mergeCell ref="C144:I144"/>
    <mergeCell ref="A146:I146"/>
    <mergeCell ref="A133:I133"/>
    <mergeCell ref="A135:I135"/>
    <mergeCell ref="C136:I136"/>
    <mergeCell ref="C137:I137"/>
    <mergeCell ref="C138:I138"/>
    <mergeCell ref="C139:I139"/>
    <mergeCell ref="C150:F150"/>
    <mergeCell ref="G150:I150"/>
    <mergeCell ref="C151:F151"/>
    <mergeCell ref="G151:I151"/>
    <mergeCell ref="C152:F152"/>
    <mergeCell ref="G152:I152"/>
    <mergeCell ref="C147:F147"/>
    <mergeCell ref="G147:I147"/>
    <mergeCell ref="C148:F148"/>
    <mergeCell ref="G148:I148"/>
    <mergeCell ref="C149:F149"/>
    <mergeCell ref="G149:I149"/>
    <mergeCell ref="C156:F156"/>
    <mergeCell ref="G156:I156"/>
    <mergeCell ref="A158:I158"/>
    <mergeCell ref="C153:F153"/>
    <mergeCell ref="G153:I153"/>
    <mergeCell ref="C154:F154"/>
    <mergeCell ref="G154:I154"/>
    <mergeCell ref="C155:F155"/>
    <mergeCell ref="G155:I15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C1C8DEC5EC1642A3B204BF2D94D709" ma:contentTypeVersion="18" ma:contentTypeDescription="Create a new document." ma:contentTypeScope="" ma:versionID="490d2c8dce07d6e23ccffb59c9f6e535">
  <xsd:schema xmlns:xsd="http://www.w3.org/2001/XMLSchema" xmlns:xs="http://www.w3.org/2001/XMLSchema" xmlns:p="http://schemas.microsoft.com/office/2006/metadata/properties" xmlns:ns2="87605892-44fb-4531-b5dc-8527cc647713" xmlns:ns3="e74716f0-6cf9-445a-82e9-97b5818b8ab3" targetNamespace="http://schemas.microsoft.com/office/2006/metadata/properties" ma:root="true" ma:fieldsID="ad9fec48451f892a3622eb046076eab0" ns2:_="" ns3:_="">
    <xsd:import namespace="87605892-44fb-4531-b5dc-8527cc647713"/>
    <xsd:import namespace="e74716f0-6cf9-445a-82e9-97b5818b8ab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605892-44fb-4531-b5dc-8527cc6477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e5228e7-4c10-4cfe-813b-088c5c0362e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4716f0-6cf9-445a-82e9-97b5818b8ab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be11059-0cc5-42fd-8693-ee333478d533}" ma:internalName="TaxCatchAll" ma:showField="CatchAllData" ma:web="e74716f0-6cf9-445a-82e9-97b5818b8a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4716f0-6cf9-445a-82e9-97b5818b8ab3" xsi:nil="true"/>
    <lcf76f155ced4ddcb4097134ff3c332f xmlns="87605892-44fb-4531-b5dc-8527cc64771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C6BDAAF-9BD6-449D-B8E0-733AAE75E8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605892-44fb-4531-b5dc-8527cc647713"/>
    <ds:schemaRef ds:uri="e74716f0-6cf9-445a-82e9-97b5818b8a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B7D364-1408-4C3A-8281-8C500E3996BF}">
  <ds:schemaRefs>
    <ds:schemaRef ds:uri="http://schemas.microsoft.com/sharepoint/v3/contenttype/forms"/>
  </ds:schemaRefs>
</ds:datastoreItem>
</file>

<file path=customXml/itemProps3.xml><?xml version="1.0" encoding="utf-8"?>
<ds:datastoreItem xmlns:ds="http://schemas.openxmlformats.org/officeDocument/2006/customXml" ds:itemID="{34B095D2-30DC-4390-97D7-BCA21258B0A2}">
  <ds:schemaRefs>
    <ds:schemaRef ds:uri="http://purl.org/dc/terms/"/>
    <ds:schemaRef ds:uri="http://schemas.microsoft.com/office/2006/documentManagement/types"/>
    <ds:schemaRef ds:uri="http://schemas.microsoft.com/office/infopath/2007/PartnerControls"/>
    <ds:schemaRef ds:uri="e74716f0-6cf9-445a-82e9-97b5818b8ab3"/>
    <ds:schemaRef ds:uri="http://www.w3.org/XML/1998/namespace"/>
    <ds:schemaRef ds:uri="http://purl.org/dc/dcmitype/"/>
    <ds:schemaRef ds:uri="http://purl.org/dc/elements/1.1/"/>
    <ds:schemaRef ds:uri="87605892-44fb-4531-b5dc-8527cc647713"/>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Approved Quote</vt:lpstr>
      <vt:lpstr>Confirmation Info Sheet</vt:lpstr>
      <vt:lpstr>Email Helper</vt:lpstr>
      <vt:lpstr>Premium Table</vt:lpstr>
      <vt:lpstr>Final premium per member</vt:lpstr>
      <vt:lpstr>PRD</vt:lpstr>
      <vt:lpstr>Calculation Explainer</vt:lpstr>
      <vt:lpstr>AUHAgeBr</vt:lpstr>
      <vt:lpstr>DXBAgeBr</vt:lpstr>
      <vt:lpstr>'Premium Table'!Print_Area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Jasper H</dc:creator>
  <cp:keywords/>
  <dc:description/>
  <cp:lastModifiedBy>Jasper H</cp:lastModifiedBy>
  <cp:revision/>
  <dcterms:created xsi:type="dcterms:W3CDTF">2024-02-20T07:14:10Z</dcterms:created>
  <dcterms:modified xsi:type="dcterms:W3CDTF">2026-03-31T08:16:04Z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0x01010070C1C8DEC5EC1642A3B204BF2D94D709</vt:lpwstr>
  </property>
  <property fmtid="{D5CDD505-2E9C-101B-9397-08002B2CF9AE}" pid="3" name="MediaServiceImageTags">
    <vt:lpwstr/>
  </property>
</Properties>
</file>