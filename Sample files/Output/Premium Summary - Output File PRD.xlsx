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erhealthx/Desktop/AI Projects/Premium Summary /Sample files/Output/"/>
    </mc:Choice>
  </mc:AlternateContent>
  <xr:revisionPtr revIDLastSave="0" documentId="13_ncr:2001_{9FEFD19E-D78D-CC4A-8609-B91AF8336DE0}" xr6:coauthVersionLast="47" xr6:coauthVersionMax="47" xr10:uidLastSave="{00000000-0000-0000-0000-000000000000}"/>
  <bookViews>
    <workbookView xWindow="0" yWindow="600" windowWidth="28800" windowHeight="17400" xr2:uid="{EDBDA155-426B-F640-90C5-187D79498CD3}"/>
  </bookViews>
  <sheets>
    <sheet name="Premium Summary" sheetId="1" r:id="rId1"/>
  </sheets>
  <externalReferences>
    <externalReference r:id="rId2"/>
  </externalReferences>
  <definedNames>
    <definedName name="_xlnm._FilterDatabase" localSheetId="0" hidden="1">'Premium Summary'!$A$19:$F$19</definedName>
    <definedName name="AUHAgeBr">'[1]Final premium per member'!$U$5:$V$17</definedName>
    <definedName name="DXBAgeBr">'[1]Final premium per member'!$T$5:$V$17</definedName>
    <definedName name="_xlnm.Print_Area" localSheetId="0">'Premium Summary'!$A$3:$F$41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N32" i="1" l="1"/>
  <c r="O32" i="1"/>
  <c r="F16" i="1" l="1"/>
  <c r="G16" i="1"/>
  <c r="F49" i="1" l="1"/>
  <c r="F45" i="1"/>
  <c r="E40" i="1"/>
  <c r="E36" i="1"/>
  <c r="E32" i="1"/>
  <c r="E28" i="1"/>
  <c r="E24" i="1"/>
  <c r="E49" i="1"/>
  <c r="E45" i="1"/>
  <c r="F39" i="1"/>
  <c r="F35" i="1"/>
  <c r="F31" i="1"/>
  <c r="F27" i="1"/>
  <c r="F23" i="1"/>
  <c r="F48" i="1"/>
  <c r="F43" i="1"/>
  <c r="E39" i="1"/>
  <c r="E35" i="1"/>
  <c r="E31" i="1"/>
  <c r="E27" i="1"/>
  <c r="E23" i="1"/>
  <c r="E48" i="1"/>
  <c r="F42" i="1"/>
  <c r="F38" i="1"/>
  <c r="F34" i="1"/>
  <c r="F30" i="1"/>
  <c r="F26" i="1"/>
  <c r="F22" i="1"/>
  <c r="F51" i="1"/>
  <c r="F47" i="1"/>
  <c r="E42" i="1"/>
  <c r="E38" i="1"/>
  <c r="E34" i="1"/>
  <c r="E30" i="1"/>
  <c r="E26" i="1"/>
  <c r="E22" i="1"/>
  <c r="E51" i="1"/>
  <c r="E47" i="1"/>
  <c r="F41" i="1"/>
  <c r="F37" i="1"/>
  <c r="F33" i="1"/>
  <c r="F29" i="1"/>
  <c r="F25" i="1"/>
  <c r="F21" i="1"/>
  <c r="F50" i="1"/>
  <c r="F46" i="1"/>
  <c r="E41" i="1"/>
  <c r="E37" i="1"/>
  <c r="E33" i="1"/>
  <c r="E29" i="1"/>
  <c r="E25" i="1"/>
  <c r="E21" i="1"/>
  <c r="E50" i="1"/>
  <c r="E46" i="1"/>
  <c r="F40" i="1"/>
  <c r="F36" i="1"/>
  <c r="F32" i="1"/>
  <c r="F28" i="1"/>
  <c r="F24" i="1"/>
  <c r="F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Jasper Healthx</author>
  </authors>
  <commentList>
    <comment ref="J23" authorId="0" shapeId="0" xr:uid="{3410EBA7-8421-B04F-8592-6072F30279B4}">
      <text>
        <r>
          <rPr>
            <b/>
            <sz val="10"/>
            <color rgb="FF000000"/>
            <rFont val="Tahoma"/>
            <family val="2"/>
          </rPr>
          <t>Jasper Healthx: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RGA approval is 3,316.50. Supposed to be 4,363 is the gross loading but I put it as net.</t>
        </r>
      </text>
    </comment>
  </commentList>
</comments>
</file>

<file path=xl/sharedStrings.xml><?xml version="1.0" encoding="utf-8"?>
<sst xmlns="http://schemas.openxmlformats.org/spreadsheetml/2006/main" count="186" uniqueCount="81">
  <si>
    <t>additional maternity premium</t>
  </si>
  <si>
    <t>Cat B (EMPDEPMAT)</t>
  </si>
  <si>
    <t>Cat B (DEP)</t>
  </si>
  <si>
    <t>Cat B (EMP)</t>
  </si>
  <si>
    <t>Category B</t>
  </si>
  <si>
    <t>Cat A (EMPDEPMAT)</t>
  </si>
  <si>
    <t>Cat A (DEP)</t>
  </si>
  <si>
    <t>Cat A (EMP)</t>
  </si>
  <si>
    <t>Comments</t>
  </si>
  <si>
    <t>Declaration</t>
  </si>
  <si>
    <t>Gross Loading</t>
  </si>
  <si>
    <t>Net Loading</t>
  </si>
  <si>
    <t>Relation</t>
  </si>
  <si>
    <t>Category</t>
  </si>
  <si>
    <t>Gender</t>
  </si>
  <si>
    <t>DOB</t>
  </si>
  <si>
    <t>Member</t>
  </si>
  <si>
    <t>Additional Loading</t>
  </si>
  <si>
    <t>Category A</t>
  </si>
  <si>
    <t>NET PREMIUM (FEMALE)</t>
  </si>
  <si>
    <t>NET PREMIUM (MALE)</t>
  </si>
  <si>
    <t>GROSS PREMIUM (FEMALE)</t>
  </si>
  <si>
    <t>GROSS PREMIUM (MALE)</t>
  </si>
  <si>
    <t>Age Band</t>
  </si>
  <si>
    <t>TOTAL FEES</t>
  </si>
  <si>
    <t>Insurance Levy</t>
  </si>
  <si>
    <t>HealthX (Admin)</t>
  </si>
  <si>
    <t>QIC (Insurer)</t>
  </si>
  <si>
    <t>Underwriter</t>
  </si>
  <si>
    <t>Broker</t>
  </si>
  <si>
    <t>Endorsement Frequency</t>
  </si>
  <si>
    <t>LSB</t>
  </si>
  <si>
    <t>HSB</t>
  </si>
  <si>
    <t>Inception premium payment</t>
  </si>
  <si>
    <t>FEES IN %</t>
  </si>
  <si>
    <t>Policy Type</t>
  </si>
  <si>
    <t>Slash Data Fee</t>
  </si>
  <si>
    <t>Policy End Date</t>
  </si>
  <si>
    <t>Paid by Healthx</t>
  </si>
  <si>
    <t>TruDoc Fee</t>
  </si>
  <si>
    <t>Policy Start Date</t>
  </si>
  <si>
    <t>Paid by client</t>
  </si>
  <si>
    <t>DHA HCV Fee</t>
  </si>
  <si>
    <t>DHA Basmah Fee</t>
  </si>
  <si>
    <t>Policy Holder</t>
  </si>
  <si>
    <t>FLAT FIXED FEES</t>
  </si>
  <si>
    <t/>
  </si>
  <si>
    <t>11 - 17</t>
  </si>
  <si>
    <t>18 - 25</t>
  </si>
  <si>
    <t>26 - 30</t>
  </si>
  <si>
    <t>31 - 35</t>
  </si>
  <si>
    <t>36 - 40</t>
  </si>
  <si>
    <t>41 - 45</t>
  </si>
  <si>
    <t>46 - 50</t>
  </si>
  <si>
    <t>51 - 55</t>
  </si>
  <si>
    <t>56 - 59</t>
  </si>
  <si>
    <t>60 - 64</t>
  </si>
  <si>
    <t>65 - 99</t>
  </si>
  <si>
    <t>0 - 10</t>
  </si>
  <si>
    <t>Plan</t>
  </si>
  <si>
    <t>0 - 17</t>
  </si>
  <si>
    <t>18 - 45</t>
  </si>
  <si>
    <t>18 - 40</t>
  </si>
  <si>
    <t>41 - 60</t>
  </si>
  <si>
    <t>61 - 99</t>
  </si>
  <si>
    <t>18 - 50</t>
  </si>
  <si>
    <t>{QIC} (Insurer)</t>
  </si>
  <si>
    <t>{Broker Name}</t>
  </si>
  <si>
    <t>{Company Name}</t>
  </si>
  <si>
    <t>{Plan Name}</t>
  </si>
  <si>
    <t>{Policy Start Date}</t>
  </si>
  <si>
    <t>Calculated field=DATE(YEAR(B6)+1,MONTH(B6),DAY(B6))-1</t>
  </si>
  <si>
    <t>{Plan Type}</t>
  </si>
  <si>
    <t>Created: Date &amp; Time</t>
  </si>
  <si>
    <t>{Total Loading}</t>
  </si>
  <si>
    <t>{Tagged member}</t>
  </si>
  <si>
    <t>{Tagged member diagnosis}</t>
  </si>
  <si>
    <t>{Tagged membernotes}</t>
  </si>
  <si>
    <t>{Payment Mode}</t>
  </si>
  <si>
    <t>{Endorsement Payment Mode}</t>
  </si>
  <si>
    <t>{Gross Premium - 0,000}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</si>
</sst>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AED]\ #,##0.00"/>
    <numFmt numFmtId="165" formatCode="&quot;AED&quot;\ #,##0.00"/>
    <numFmt numFmtId="166" formatCode="_(* #,##0_);_(* \(#,##0\);_(* &quot;-&quot;??_);_(@_)"/>
    <numFmt numFmtId="167" formatCode="dd/mm/yy;@"/>
    <numFmt numFmtId="168" formatCode="&quot;AED&quot;\ #,##0"/>
    <numFmt numFmtId="169" formatCode="_-[$$-409]* #,##0.00_ ;_-[$$-409]* \-#,##0.00\ ;_-[$$-409]* &quot;-&quot;??_ ;_-@_ "/>
    <numFmt numFmtId="170" formatCode="[$]dd\-mmm\-yyyy;@"/>
  </numFmts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i/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rgb="FF000000"/>
      <name val="Calibri"/>
      <family val="2"/>
    </font>
    <font>
      <sz val="11"/>
      <color rgb="FF212121"/>
      <name val="Aptos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212121"/>
      <name val="Calibri"/>
      <family val="2"/>
    </font>
    <font>
      <sz val="12"/>
      <color rgb="FFC00000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5" fontId="9" fillId="0" borderId="0" xfId="0" applyNumberFormat="1" applyFont="1"/>
    <xf numFmtId="0" fontId="10" fillId="0" borderId="0" xfId="0" applyFont="1"/>
    <xf numFmtId="0" fontId="11" fillId="0" borderId="0" xfId="0" applyFont="1"/>
    <xf numFmtId="166" fontId="5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8" fontId="3" fillId="0" borderId="0" xfId="0" applyNumberFormat="1" applyFont="1"/>
    <xf numFmtId="0" fontId="13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69" fontId="14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70" fontId="3" fillId="0" borderId="1" xfId="0" quotePrefix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/>
    <xf numFmtId="15" fontId="9" fillId="0" borderId="0" xfId="0" applyNumberFormat="1" applyFont="1"/>
    <xf numFmtId="0" fontId="8" fillId="0" borderId="0" xfId="0" applyFont="1"/>
    <xf numFmtId="0" fontId="10" fillId="0" borderId="0" xfId="0" applyFont="1"/>
    <xf numFmtId="10" fontId="5" fillId="0" borderId="0" xfId="0" applyNumberFormat="1" applyFont="1" applyBorder="1" applyAlignment="1">
      <alignment horizontal="center" vertical="center"/>
    </xf>
    <xf numFmtId="168" fontId="3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DAA964EB-30E9-B849-88F9-8B331C6AE7F9}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sperhealthx/Desktop/AI%20Projects/Premium%20Summary%20/Sample%20files/Output/Premium%20Summary%20(Manual)%20-%20AL%20HIKMA%20MEDICINE%20&amp;%20MEDICAL%20SUPPLIES%20TRADING.xlsx" TargetMode="External"/><Relationship Id="rId1" Type="http://schemas.openxmlformats.org/officeDocument/2006/relationships/externalLinkPath" Target="Premium%20Summary%20(Manual)%20-%20AL%20HIKMA%20MEDICINE%20&amp;%20MEDICAL%20SUPPLIES%20TR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roved Quote"/>
      <sheetName val="Confirmation Info Sheet"/>
      <sheetName val="Email Helper"/>
      <sheetName val="Final premium per member"/>
    </sheetNames>
    <sheetDataSet>
      <sheetData sheetId="0"/>
      <sheetData sheetId="1"/>
      <sheetData sheetId="2"/>
      <sheetData sheetId="3">
        <row r="2">
          <cell r="X2">
            <v>0</v>
          </cell>
        </row>
        <row r="5">
          <cell r="T5" t="str">
            <v>Dubai Age Bracket</v>
          </cell>
          <cell r="U5" t="str">
            <v>AUH Age Bracket</v>
          </cell>
          <cell r="V5" t="str">
            <v>Age Bracket</v>
          </cell>
        </row>
        <row r="6">
          <cell r="T6" t="str">
            <v>0 - 10</v>
          </cell>
          <cell r="U6" t="str">
            <v>0 - 17</v>
          </cell>
          <cell r="V6">
            <v>1</v>
          </cell>
        </row>
        <row r="7">
          <cell r="T7" t="str">
            <v>11 - 17</v>
          </cell>
          <cell r="U7" t="str">
            <v>18 - 40</v>
          </cell>
          <cell r="V7">
            <v>2</v>
          </cell>
        </row>
        <row r="8">
          <cell r="T8" t="str">
            <v>18 - 25</v>
          </cell>
          <cell r="U8" t="str">
            <v>41 -59</v>
          </cell>
          <cell r="V8">
            <v>3</v>
          </cell>
        </row>
        <row r="9">
          <cell r="T9" t="str">
            <v>26 - 30</v>
          </cell>
          <cell r="U9" t="str">
            <v>60 - 64</v>
          </cell>
          <cell r="V9">
            <v>4</v>
          </cell>
        </row>
        <row r="10">
          <cell r="T10" t="str">
            <v>31 - 35</v>
          </cell>
          <cell r="U10" t="str">
            <v>65 - 99</v>
          </cell>
          <cell r="V10">
            <v>5</v>
          </cell>
        </row>
        <row r="11">
          <cell r="T11" t="str">
            <v>36 - 40</v>
          </cell>
          <cell r="V11">
            <v>6</v>
          </cell>
        </row>
        <row r="12">
          <cell r="T12" t="str">
            <v>41 - 45</v>
          </cell>
          <cell r="V12">
            <v>7</v>
          </cell>
        </row>
        <row r="13">
          <cell r="T13" t="str">
            <v>46 - 50</v>
          </cell>
          <cell r="V13">
            <v>8</v>
          </cell>
        </row>
        <row r="14">
          <cell r="T14" t="str">
            <v>51 - 55</v>
          </cell>
          <cell r="V14">
            <v>9</v>
          </cell>
        </row>
        <row r="15">
          <cell r="T15" t="str">
            <v>56 - 59</v>
          </cell>
          <cell r="V15">
            <v>10</v>
          </cell>
        </row>
        <row r="16">
          <cell r="T16" t="str">
            <v>60 - 64</v>
          </cell>
          <cell r="V16">
            <v>11</v>
          </cell>
        </row>
        <row r="17">
          <cell r="T17" t="str">
            <v>65 - 99</v>
          </cell>
          <cell r="V1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BD8A15-D720-4D4E-87CA-1657580361A5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EA03-560D-394C-A14D-12ED0283A542}">
  <sheetPr>
    <pageSetUpPr fitToPage="1"/>
  </sheetPr>
  <dimension ref="A1:T294"/>
  <sheetViews>
    <sheetView tabSelected="1" zoomScale="107" zoomScaleNormal="107" workbookViewId="0">
      <selection activeCell="N28" sqref="N28"/>
    </sheetView>
  </sheetViews>
  <sheetFormatPr baseColWidth="10" defaultColWidth="9.1640625" defaultRowHeight="20" customHeight="1" x14ac:dyDescent="0.15"/>
  <cols>
    <col min="1" max="1" width="29.5" style="1" bestFit="1" customWidth="1"/>
    <col min="2" max="2" width="41.1640625" style="2" customWidth="1"/>
    <col min="3" max="4" width="22.83203125" style="1" bestFit="1" customWidth="1"/>
    <col min="5" max="6" width="17.83203125" style="1" customWidth="1"/>
    <col min="7" max="7" width="14.83203125" style="1" customWidth="1"/>
    <col min="8" max="8" width="9.1640625" style="1"/>
    <col min="9" max="9" width="26" style="1" customWidth="1"/>
    <col min="10" max="10" width="22.33203125" style="1" customWidth="1"/>
    <col min="11" max="11" width="13.83203125" style="1" customWidth="1"/>
    <col min="12" max="12" width="25.6640625" style="1" bestFit="1" customWidth="1"/>
    <col min="13" max="13" width="17.1640625" style="1" bestFit="1" customWidth="1"/>
    <col min="14" max="15" width="22.1640625" style="1" customWidth="1"/>
    <col min="16" max="16" width="42.5" style="1" customWidth="1"/>
    <col min="17" max="17" width="24.33203125" style="1" bestFit="1" customWidth="1"/>
    <col min="18" max="16384" width="9.1640625" style="1"/>
  </cols>
  <sheetData>
    <row r="1" spans="1:13" ht="54" customHeight="1" x14ac:dyDescent="0.15"/>
    <row r="2" spans="1:13" ht="16" customHeight="1" x14ac:dyDescent="0.15"/>
    <row r="3" spans="1:13" s="29" customFormat="1" ht="36" customHeight="1" x14ac:dyDescent="0.2">
      <c r="A3" s="40" t="s">
        <v>59</v>
      </c>
      <c r="B3" s="31" t="s">
        <v>69</v>
      </c>
      <c r="E3" s="42" t="s">
        <v>45</v>
      </c>
      <c r="F3" s="43"/>
    </row>
    <row r="4" spans="1:13" s="29" customFormat="1" ht="76" customHeight="1" x14ac:dyDescent="0.2">
      <c r="A4" s="40" t="s">
        <v>44</v>
      </c>
      <c r="B4" s="39" t="s">
        <v>68</v>
      </c>
      <c r="E4" s="22" t="s">
        <v>43</v>
      </c>
      <c r="F4" s="8">
        <v>19</v>
      </c>
      <c r="G4" s="38" t="s">
        <v>41</v>
      </c>
    </row>
    <row r="5" spans="1:13" s="29" customFormat="1" ht="36" customHeight="1" x14ac:dyDescent="0.2">
      <c r="A5" s="40" t="s">
        <v>29</v>
      </c>
      <c r="B5" s="31" t="s">
        <v>67</v>
      </c>
      <c r="E5" s="31" t="s">
        <v>42</v>
      </c>
      <c r="F5" s="8">
        <v>18</v>
      </c>
      <c r="G5" s="38" t="s">
        <v>41</v>
      </c>
    </row>
    <row r="6" spans="1:13" s="29" customFormat="1" ht="36" customHeight="1" x14ac:dyDescent="0.2">
      <c r="A6" s="34" t="s">
        <v>40</v>
      </c>
      <c r="B6" s="33" t="s">
        <v>70</v>
      </c>
      <c r="E6" s="31" t="s">
        <v>39</v>
      </c>
      <c r="F6" s="8">
        <v>12</v>
      </c>
      <c r="G6" s="38" t="s">
        <v>38</v>
      </c>
    </row>
    <row r="7" spans="1:13" ht="36" customHeight="1" x14ac:dyDescent="0.15">
      <c r="A7" s="34" t="s">
        <v>37</v>
      </c>
      <c r="B7" s="41" t="s">
        <v>71</v>
      </c>
      <c r="E7" s="31" t="s">
        <v>36</v>
      </c>
      <c r="F7" s="8">
        <v>25</v>
      </c>
    </row>
    <row r="8" spans="1:13" ht="36" customHeight="1" x14ac:dyDescent="0.15">
      <c r="A8" s="34" t="s">
        <v>35</v>
      </c>
      <c r="B8" s="9" t="s">
        <v>72</v>
      </c>
      <c r="E8" s="10"/>
      <c r="F8" s="37"/>
    </row>
    <row r="9" spans="1:13" ht="36" customHeight="1" x14ac:dyDescent="0.15">
      <c r="A9" s="35"/>
      <c r="B9" s="35"/>
      <c r="F9" s="31" t="s">
        <v>34</v>
      </c>
      <c r="G9" s="36"/>
    </row>
    <row r="10" spans="1:13" ht="36" customHeight="1" x14ac:dyDescent="0.15">
      <c r="A10" s="34" t="s">
        <v>33</v>
      </c>
      <c r="B10" s="31" t="s">
        <v>78</v>
      </c>
      <c r="F10" s="22" t="s">
        <v>32</v>
      </c>
      <c r="G10" s="22" t="s">
        <v>31</v>
      </c>
    </row>
    <row r="11" spans="1:13" ht="36" customHeight="1" x14ac:dyDescent="0.15">
      <c r="A11" s="34" t="s">
        <v>30</v>
      </c>
      <c r="B11" s="31" t="s">
        <v>79</v>
      </c>
      <c r="E11" s="22" t="s">
        <v>29</v>
      </c>
      <c r="F11" s="32"/>
      <c r="G11" s="32"/>
    </row>
    <row r="12" spans="1:13" ht="36" customHeight="1" x14ac:dyDescent="0.15">
      <c r="A12" s="35"/>
      <c r="B12" s="35"/>
      <c r="E12" s="31" t="s">
        <v>66</v>
      </c>
      <c r="F12" s="32"/>
      <c r="G12" s="32"/>
    </row>
    <row r="13" spans="1:13" ht="36" customHeight="1" x14ac:dyDescent="0.15">
      <c r="A13" s="34" t="s">
        <v>28</v>
      </c>
      <c r="B13" s="31" t="s">
        <v>67</v>
      </c>
      <c r="E13" s="31" t="s">
        <v>27</v>
      </c>
      <c r="F13" s="32"/>
      <c r="G13" s="32"/>
    </row>
    <row r="14" spans="1:13" ht="36" customHeight="1" x14ac:dyDescent="0.15">
      <c r="A14" s="29"/>
      <c r="B14" s="29"/>
      <c r="C14" s="29"/>
      <c r="E14" s="31" t="s">
        <v>26</v>
      </c>
      <c r="F14" s="32"/>
      <c r="G14" s="32"/>
    </row>
    <row r="15" spans="1:13" s="29" customFormat="1" ht="36" customHeight="1" x14ac:dyDescent="0.15">
      <c r="E15" s="31" t="s">
        <v>25</v>
      </c>
      <c r="F15" s="32"/>
      <c r="G15" s="32"/>
      <c r="I15" s="1"/>
      <c r="J15" s="1"/>
      <c r="K15" s="1"/>
      <c r="L15" s="1"/>
      <c r="M15" s="1"/>
    </row>
    <row r="16" spans="1:13" s="29" customFormat="1" ht="36" customHeight="1" x14ac:dyDescent="0.15">
      <c r="E16" s="31" t="s">
        <v>24</v>
      </c>
      <c r="F16" s="30">
        <f>SUM(F11:F15)</f>
        <v>0</v>
      </c>
      <c r="G16" s="30">
        <f>SUM(G11:G15)</f>
        <v>0</v>
      </c>
      <c r="I16" s="1"/>
      <c r="J16" s="1"/>
      <c r="K16" s="1"/>
      <c r="L16" s="1"/>
      <c r="M16" s="1"/>
    </row>
    <row r="17" spans="1:18" s="29" customFormat="1" ht="25" customHeight="1" x14ac:dyDescent="0.15">
      <c r="G17" s="48"/>
      <c r="I17" s="1"/>
      <c r="J17" s="1"/>
      <c r="K17" s="1"/>
      <c r="L17" s="1"/>
      <c r="M17" s="1"/>
    </row>
    <row r="18" spans="1:18" ht="25" customHeight="1" x14ac:dyDescent="0.15">
      <c r="A18" s="28"/>
      <c r="B18" s="28"/>
      <c r="C18" s="28"/>
      <c r="D18" s="28"/>
      <c r="E18" s="28"/>
      <c r="F18" s="28"/>
    </row>
    <row r="19" spans="1:18" s="25" customFormat="1" ht="30" customHeight="1" x14ac:dyDescent="0.15">
      <c r="A19" s="27" t="s">
        <v>13</v>
      </c>
      <c r="B19" s="27" t="s">
        <v>23</v>
      </c>
      <c r="C19" s="27" t="s">
        <v>22</v>
      </c>
      <c r="D19" s="27" t="s">
        <v>21</v>
      </c>
      <c r="E19" s="27" t="s">
        <v>20</v>
      </c>
      <c r="F19" s="27" t="s">
        <v>19</v>
      </c>
      <c r="I19" s="1"/>
      <c r="J19" s="1"/>
      <c r="K19" s="1"/>
      <c r="L19" s="1"/>
      <c r="Q19" s="26"/>
      <c r="R19" s="26"/>
    </row>
    <row r="20" spans="1:18" ht="31" customHeight="1" x14ac:dyDescent="0.2">
      <c r="A20" s="10" t="s">
        <v>18</v>
      </c>
      <c r="Q20"/>
      <c r="R20"/>
    </row>
    <row r="21" spans="1:18" ht="31" customHeight="1" x14ac:dyDescent="0.2">
      <c r="A21" s="6" t="s">
        <v>7</v>
      </c>
      <c r="B21" s="6" t="s">
        <v>48</v>
      </c>
      <c r="C21" s="5" t="s">
        <v>80</v>
      </c>
      <c r="D21" s="5" t="s">
        <v>80</v>
      </c>
      <c r="E21" s="4" t="e">
        <f t="shared" ref="E21:E42" si="0">C21*(1-$F$16)</f>
        <v>#VALUE!</v>
      </c>
      <c r="F21" s="4" t="e">
        <f t="shared" ref="F21:F42" si="1">D21*(1-$F$16)</f>
        <v>#VALUE!</v>
      </c>
      <c r="I21" s="24" t="s">
        <v>17</v>
      </c>
      <c r="Q21"/>
      <c r="R21"/>
    </row>
    <row r="22" spans="1:18" ht="20" customHeight="1" x14ac:dyDescent="0.2">
      <c r="A22" s="6" t="s">
        <v>7</v>
      </c>
      <c r="B22" s="6" t="s">
        <v>49</v>
      </c>
      <c r="C22" s="5" t="s">
        <v>80</v>
      </c>
      <c r="D22" s="5" t="s">
        <v>80</v>
      </c>
      <c r="E22" s="4" t="e">
        <f t="shared" si="0"/>
        <v>#VALUE!</v>
      </c>
      <c r="F22" s="4" t="e">
        <f t="shared" si="1"/>
        <v>#VALUE!</v>
      </c>
      <c r="Q22"/>
      <c r="R22"/>
    </row>
    <row r="23" spans="1:18" ht="20" customHeight="1" x14ac:dyDescent="0.2">
      <c r="A23" s="6" t="s">
        <v>7</v>
      </c>
      <c r="B23" s="6" t="s">
        <v>50</v>
      </c>
      <c r="C23" s="5" t="s">
        <v>80</v>
      </c>
      <c r="D23" s="5" t="s">
        <v>80</v>
      </c>
      <c r="E23" s="4" t="e">
        <f t="shared" si="0"/>
        <v>#VALUE!</v>
      </c>
      <c r="F23" s="4" t="e">
        <f t="shared" si="1"/>
        <v>#VALUE!</v>
      </c>
      <c r="I23" s="22" t="s">
        <v>11</v>
      </c>
      <c r="J23" s="49" t="e">
        <f>J24/(1-F16)</f>
        <v>#VALUE!</v>
      </c>
      <c r="K23" s="23"/>
      <c r="Q23"/>
      <c r="R23"/>
    </row>
    <row r="24" spans="1:18" ht="20" customHeight="1" x14ac:dyDescent="0.2">
      <c r="A24" s="6" t="s">
        <v>7</v>
      </c>
      <c r="B24" s="6" t="s">
        <v>51</v>
      </c>
      <c r="C24" s="5" t="s">
        <v>80</v>
      </c>
      <c r="D24" s="5" t="s">
        <v>80</v>
      </c>
      <c r="E24" s="4" t="e">
        <f t="shared" si="0"/>
        <v>#VALUE!</v>
      </c>
      <c r="F24" s="4" t="e">
        <f t="shared" si="1"/>
        <v>#VALUE!</v>
      </c>
      <c r="I24" s="22" t="s">
        <v>10</v>
      </c>
      <c r="J24" s="9" t="s">
        <v>74</v>
      </c>
      <c r="K24" s="23"/>
      <c r="Q24"/>
      <c r="R24"/>
    </row>
    <row r="25" spans="1:18" ht="20" customHeight="1" x14ac:dyDescent="0.2">
      <c r="A25" s="6" t="s">
        <v>7</v>
      </c>
      <c r="B25" s="6" t="s">
        <v>52</v>
      </c>
      <c r="C25" s="5" t="s">
        <v>80</v>
      </c>
      <c r="D25" s="5" t="s">
        <v>80</v>
      </c>
      <c r="E25" s="4" t="e">
        <f t="shared" si="0"/>
        <v>#VALUE!</v>
      </c>
      <c r="F25" s="4" t="e">
        <f t="shared" si="1"/>
        <v>#VALUE!</v>
      </c>
      <c r="Q25"/>
      <c r="R25"/>
    </row>
    <row r="26" spans="1:18" ht="20" customHeight="1" x14ac:dyDescent="0.2">
      <c r="A26" s="6" t="s">
        <v>7</v>
      </c>
      <c r="B26" s="6" t="s">
        <v>53</v>
      </c>
      <c r="C26" s="5" t="s">
        <v>80</v>
      </c>
      <c r="D26" s="5" t="s">
        <v>80</v>
      </c>
      <c r="E26" s="4" t="e">
        <f t="shared" si="0"/>
        <v>#VALUE!</v>
      </c>
      <c r="F26" s="4" t="e">
        <f t="shared" si="1"/>
        <v>#VALUE!</v>
      </c>
      <c r="Q26"/>
      <c r="R26"/>
    </row>
    <row r="27" spans="1:18" ht="20" customHeight="1" x14ac:dyDescent="0.2">
      <c r="A27" s="6" t="s">
        <v>7</v>
      </c>
      <c r="B27" s="6" t="s">
        <v>54</v>
      </c>
      <c r="C27" s="5" t="s">
        <v>80</v>
      </c>
      <c r="D27" s="5" t="s">
        <v>80</v>
      </c>
      <c r="E27" s="4" t="e">
        <f t="shared" si="0"/>
        <v>#VALUE!</v>
      </c>
      <c r="F27" s="4" t="e">
        <f t="shared" si="1"/>
        <v>#VALUE!</v>
      </c>
      <c r="I27" s="22" t="s">
        <v>16</v>
      </c>
      <c r="J27" s="22" t="s">
        <v>15</v>
      </c>
      <c r="K27" s="22" t="s">
        <v>14</v>
      </c>
      <c r="L27" s="22" t="s">
        <v>13</v>
      </c>
      <c r="M27" s="22" t="s">
        <v>12</v>
      </c>
      <c r="N27" s="22" t="s">
        <v>11</v>
      </c>
      <c r="O27" s="22" t="s">
        <v>10</v>
      </c>
      <c r="P27" s="22" t="s">
        <v>9</v>
      </c>
      <c r="Q27" s="22" t="s">
        <v>8</v>
      </c>
      <c r="R27"/>
    </row>
    <row r="28" spans="1:18" ht="20" customHeight="1" x14ac:dyDescent="0.2">
      <c r="A28" s="6" t="s">
        <v>7</v>
      </c>
      <c r="B28" s="6" t="s">
        <v>55</v>
      </c>
      <c r="C28" s="5" t="s">
        <v>80</v>
      </c>
      <c r="D28" s="5" t="s">
        <v>80</v>
      </c>
      <c r="E28" s="4" t="e">
        <f t="shared" si="0"/>
        <v>#VALUE!</v>
      </c>
      <c r="F28" s="4" t="e">
        <f t="shared" si="1"/>
        <v>#VALUE!</v>
      </c>
      <c r="I28" s="50" t="s">
        <v>75</v>
      </c>
      <c r="J28" s="21"/>
      <c r="K28" s="20"/>
      <c r="L28" s="18"/>
      <c r="M28" s="18"/>
      <c r="N28" s="19"/>
      <c r="O28" s="19"/>
      <c r="P28" s="50" t="s">
        <v>76</v>
      </c>
      <c r="Q28" s="50" t="s">
        <v>77</v>
      </c>
      <c r="R28"/>
    </row>
    <row r="29" spans="1:18" ht="20" customHeight="1" x14ac:dyDescent="0.2">
      <c r="A29" s="6" t="s">
        <v>7</v>
      </c>
      <c r="B29" s="6" t="s">
        <v>56</v>
      </c>
      <c r="C29" s="5" t="s">
        <v>80</v>
      </c>
      <c r="D29" s="5" t="s">
        <v>80</v>
      </c>
      <c r="E29" s="4" t="e">
        <f t="shared" si="0"/>
        <v>#VALUE!</v>
      </c>
      <c r="F29" s="4" t="e">
        <f t="shared" si="1"/>
        <v>#VALUE!</v>
      </c>
      <c r="I29" s="20"/>
      <c r="J29" s="21"/>
      <c r="K29" s="20"/>
      <c r="L29" s="18"/>
      <c r="M29" s="18"/>
      <c r="N29" s="19"/>
      <c r="O29" s="19"/>
      <c r="P29" s="18"/>
      <c r="Q29" s="18"/>
      <c r="R29"/>
    </row>
    <row r="30" spans="1:18" ht="15" x14ac:dyDescent="0.2">
      <c r="A30" s="6" t="s">
        <v>7</v>
      </c>
      <c r="B30" s="6" t="s">
        <v>57</v>
      </c>
      <c r="C30" s="5" t="s">
        <v>80</v>
      </c>
      <c r="D30" s="5" t="s">
        <v>80</v>
      </c>
      <c r="E30" s="4" t="e">
        <f t="shared" si="0"/>
        <v>#VALUE!</v>
      </c>
      <c r="F30" s="4" t="e">
        <f t="shared" si="1"/>
        <v>#VALUE!</v>
      </c>
      <c r="I30" s="20"/>
      <c r="J30" s="21"/>
      <c r="K30" s="20"/>
      <c r="L30" s="18"/>
      <c r="M30" s="18"/>
      <c r="N30" s="19"/>
      <c r="O30" s="19"/>
      <c r="P30" s="18"/>
      <c r="Q30" s="18"/>
      <c r="R30"/>
    </row>
    <row r="31" spans="1:18" ht="20" customHeight="1" x14ac:dyDescent="0.2">
      <c r="A31" s="9" t="s">
        <v>6</v>
      </c>
      <c r="B31" s="9" t="s">
        <v>58</v>
      </c>
      <c r="C31" s="8" t="s">
        <v>80</v>
      </c>
      <c r="D31" s="8" t="s">
        <v>80</v>
      </c>
      <c r="E31" s="7" t="e">
        <f t="shared" si="0"/>
        <v>#VALUE!</v>
      </c>
      <c r="F31" s="7" t="e">
        <f t="shared" si="1"/>
        <v>#VALUE!</v>
      </c>
      <c r="I31" s="20"/>
      <c r="J31" s="21"/>
      <c r="K31" s="20"/>
      <c r="L31" s="18"/>
      <c r="M31" s="18"/>
      <c r="N31" s="19"/>
      <c r="O31" s="19"/>
      <c r="P31" s="18"/>
      <c r="Q31" s="18"/>
      <c r="R31"/>
    </row>
    <row r="32" spans="1:18" ht="20" customHeight="1" x14ac:dyDescent="0.2">
      <c r="A32" s="9" t="s">
        <v>6</v>
      </c>
      <c r="B32" s="9" t="s">
        <v>47</v>
      </c>
      <c r="C32" s="8" t="s">
        <v>80</v>
      </c>
      <c r="D32" s="8" t="s">
        <v>80</v>
      </c>
      <c r="E32" s="7" t="e">
        <f t="shared" si="0"/>
        <v>#VALUE!</v>
      </c>
      <c r="F32" s="7" t="e">
        <f t="shared" si="1"/>
        <v>#VALUE!</v>
      </c>
      <c r="N32" s="17">
        <f>SUM(N28:N31)</f>
        <v>0</v>
      </c>
      <c r="O32" s="17">
        <f>SUM(O28:O31)</f>
        <v>0</v>
      </c>
      <c r="Q32"/>
      <c r="R32"/>
    </row>
    <row r="33" spans="1:20" ht="20" customHeight="1" x14ac:dyDescent="0.2">
      <c r="A33" s="9" t="s">
        <v>6</v>
      </c>
      <c r="B33" s="9" t="s">
        <v>48</v>
      </c>
      <c r="C33" s="8" t="s">
        <v>80</v>
      </c>
      <c r="D33" s="8" t="s">
        <v>80</v>
      </c>
      <c r="E33" s="7" t="e">
        <f t="shared" si="0"/>
        <v>#VALUE!</v>
      </c>
      <c r="F33" s="7" t="e">
        <f t="shared" si="1"/>
        <v>#VALUE!</v>
      </c>
      <c r="Q33"/>
      <c r="R33"/>
    </row>
    <row r="34" spans="1:20" ht="20" customHeight="1" x14ac:dyDescent="0.2">
      <c r="A34" s="9" t="s">
        <v>6</v>
      </c>
      <c r="B34" s="9" t="s">
        <v>49</v>
      </c>
      <c r="C34" s="8" t="s">
        <v>80</v>
      </c>
      <c r="D34" s="8" t="s">
        <v>80</v>
      </c>
      <c r="E34" s="7" t="e">
        <f t="shared" si="0"/>
        <v>#VALUE!</v>
      </c>
      <c r="F34" s="7" t="e">
        <f t="shared" si="1"/>
        <v>#VALUE!</v>
      </c>
      <c r="K34" s="16"/>
      <c r="Q34"/>
      <c r="R34"/>
    </row>
    <row r="35" spans="1:20" ht="20" customHeight="1" x14ac:dyDescent="0.2">
      <c r="A35" s="9" t="s">
        <v>6</v>
      </c>
      <c r="B35" s="9" t="s">
        <v>50</v>
      </c>
      <c r="C35" s="8" t="s">
        <v>80</v>
      </c>
      <c r="D35" s="8" t="s">
        <v>80</v>
      </c>
      <c r="E35" s="7" t="e">
        <f t="shared" si="0"/>
        <v>#VALUE!</v>
      </c>
      <c r="F35" s="7" t="e">
        <f t="shared" si="1"/>
        <v>#VALUE!</v>
      </c>
      <c r="K35" s="16"/>
      <c r="Q35"/>
      <c r="R35"/>
    </row>
    <row r="36" spans="1:20" ht="20" customHeight="1" x14ac:dyDescent="0.2">
      <c r="A36" s="9" t="s">
        <v>6</v>
      </c>
      <c r="B36" s="9" t="s">
        <v>51</v>
      </c>
      <c r="C36" s="8" t="s">
        <v>80</v>
      </c>
      <c r="D36" s="8" t="s">
        <v>80</v>
      </c>
      <c r="E36" s="7" t="e">
        <f t="shared" si="0"/>
        <v>#VALUE!</v>
      </c>
      <c r="F36" s="7" t="e">
        <f t="shared" si="1"/>
        <v>#VALUE!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20" customHeight="1" x14ac:dyDescent="0.2">
      <c r="A37" s="9" t="s">
        <v>6</v>
      </c>
      <c r="B37" s="9" t="s">
        <v>52</v>
      </c>
      <c r="C37" s="8" t="s">
        <v>80</v>
      </c>
      <c r="D37" s="8" t="s">
        <v>80</v>
      </c>
      <c r="E37" s="7" t="e">
        <f t="shared" si="0"/>
        <v>#VALUE!</v>
      </c>
      <c r="F37" s="7" t="e">
        <f t="shared" si="1"/>
        <v>#VALUE!</v>
      </c>
      <c r="I37" s="44"/>
      <c r="J37" s="45"/>
      <c r="K37" s="44"/>
      <c r="L37" s="46"/>
      <c r="M37" s="44"/>
      <c r="N37" s="44"/>
      <c r="O37" s="11"/>
      <c r="P37" s="11"/>
      <c r="Q37" s="47"/>
      <c r="R37" s="44"/>
      <c r="S37" s="44"/>
      <c r="T37" s="44"/>
    </row>
    <row r="38" spans="1:20" ht="20" customHeight="1" x14ac:dyDescent="0.2">
      <c r="A38" s="9" t="s">
        <v>6</v>
      </c>
      <c r="B38" s="9" t="s">
        <v>53</v>
      </c>
      <c r="C38" s="8" t="s">
        <v>80</v>
      </c>
      <c r="D38" s="8" t="s">
        <v>80</v>
      </c>
      <c r="E38" s="7" t="e">
        <f t="shared" si="0"/>
        <v>#VALUE!</v>
      </c>
      <c r="F38" s="7" t="e">
        <f t="shared" si="1"/>
        <v>#VALUE!</v>
      </c>
      <c r="I38" s="44"/>
      <c r="J38" s="45"/>
      <c r="K38" s="44"/>
      <c r="L38" s="46"/>
      <c r="M38" s="44"/>
      <c r="N38" s="44"/>
      <c r="O38" s="11"/>
      <c r="P38" s="11"/>
      <c r="Q38" s="47"/>
      <c r="R38" s="44"/>
      <c r="S38" s="44"/>
      <c r="T38" s="44"/>
    </row>
    <row r="39" spans="1:20" ht="20" customHeight="1" x14ac:dyDescent="0.2">
      <c r="A39" s="9" t="s">
        <v>6</v>
      </c>
      <c r="B39" s="9" t="s">
        <v>54</v>
      </c>
      <c r="C39" s="8" t="s">
        <v>80</v>
      </c>
      <c r="D39" s="8" t="s">
        <v>80</v>
      </c>
      <c r="E39" s="7" t="e">
        <f t="shared" si="0"/>
        <v>#VALUE!</v>
      </c>
      <c r="F39" s="7" t="e">
        <f t="shared" si="1"/>
        <v>#VALUE!</v>
      </c>
      <c r="I39" s="11"/>
      <c r="J39" s="14"/>
      <c r="K39" s="11"/>
      <c r="L39" s="13"/>
      <c r="M39" s="11"/>
      <c r="N39" s="11"/>
      <c r="O39" s="11"/>
      <c r="P39" s="11"/>
      <c r="Q39" s="11"/>
      <c r="R39" s="11"/>
      <c r="S39" s="11"/>
      <c r="T39" s="11"/>
    </row>
    <row r="40" spans="1:20" ht="20" customHeight="1" x14ac:dyDescent="0.2">
      <c r="A40" s="9" t="s">
        <v>6</v>
      </c>
      <c r="B40" s="9" t="s">
        <v>55</v>
      </c>
      <c r="C40" s="8" t="s">
        <v>80</v>
      </c>
      <c r="D40" s="8" t="s">
        <v>80</v>
      </c>
      <c r="E40" s="7" t="e">
        <f t="shared" si="0"/>
        <v>#VALUE!</v>
      </c>
      <c r="F40" s="7" t="e">
        <f t="shared" si="1"/>
        <v>#VALUE!</v>
      </c>
      <c r="I40" s="15"/>
      <c r="J40" s="14"/>
      <c r="K40" s="11"/>
      <c r="L40" s="13"/>
      <c r="M40" s="11"/>
      <c r="N40" s="11"/>
      <c r="O40" s="11"/>
      <c r="P40" s="11"/>
      <c r="Q40" s="11"/>
      <c r="R40" s="11"/>
      <c r="S40" s="11"/>
      <c r="T40" s="11"/>
    </row>
    <row r="41" spans="1:20" ht="20" customHeight="1" x14ac:dyDescent="0.2">
      <c r="A41" s="9" t="s">
        <v>6</v>
      </c>
      <c r="B41" s="9" t="s">
        <v>56</v>
      </c>
      <c r="C41" s="8" t="s">
        <v>80</v>
      </c>
      <c r="D41" s="8" t="s">
        <v>80</v>
      </c>
      <c r="E41" s="7" t="e">
        <f t="shared" si="0"/>
        <v>#VALUE!</v>
      </c>
      <c r="F41" s="7" t="e">
        <f t="shared" si="1"/>
        <v>#VALUE!</v>
      </c>
      <c r="I41" s="11"/>
      <c r="J41" s="14"/>
      <c r="K41" s="11"/>
      <c r="L41" s="13"/>
      <c r="M41" s="11"/>
      <c r="N41" s="11"/>
      <c r="O41" s="11"/>
      <c r="P41" s="11"/>
      <c r="Q41" s="11"/>
      <c r="R41" s="11"/>
      <c r="S41" s="11"/>
      <c r="T41" s="11"/>
    </row>
    <row r="42" spans="1:20" ht="20" customHeight="1" x14ac:dyDescent="0.2">
      <c r="A42" s="9" t="s">
        <v>6</v>
      </c>
      <c r="B42" s="9" t="s">
        <v>57</v>
      </c>
      <c r="C42" s="8" t="s">
        <v>80</v>
      </c>
      <c r="D42" s="8" t="s">
        <v>80</v>
      </c>
      <c r="E42" s="7" t="e">
        <f t="shared" si="0"/>
        <v>#VALUE!</v>
      </c>
      <c r="F42" s="7" t="e">
        <f t="shared" si="1"/>
        <v>#VALUE!</v>
      </c>
      <c r="I42" s="12"/>
      <c r="J42"/>
      <c r="K42"/>
      <c r="L42"/>
      <c r="M42"/>
      <c r="N42"/>
      <c r="O42"/>
      <c r="P42"/>
      <c r="Q42"/>
      <c r="R42"/>
      <c r="S42"/>
      <c r="T42"/>
    </row>
    <row r="43" spans="1:20" ht="20" customHeight="1" x14ac:dyDescent="0.2">
      <c r="A43" s="6" t="s">
        <v>5</v>
      </c>
      <c r="B43" s="6" t="s">
        <v>61</v>
      </c>
      <c r="C43" s="5"/>
      <c r="D43" s="5" t="s">
        <v>80</v>
      </c>
      <c r="E43" s="4" t="s">
        <v>46</v>
      </c>
      <c r="F43" s="4" t="e">
        <f>D43*(1-$F$16)</f>
        <v>#VALUE!</v>
      </c>
      <c r="G43" s="3" t="s">
        <v>0</v>
      </c>
      <c r="K43" s="11"/>
      <c r="Q43"/>
      <c r="R43"/>
    </row>
    <row r="44" spans="1:20" ht="20" customHeight="1" x14ac:dyDescent="0.2">
      <c r="A44" s="10" t="s">
        <v>4</v>
      </c>
      <c r="Q44"/>
      <c r="R44"/>
    </row>
    <row r="45" spans="1:20" ht="20" customHeight="1" x14ac:dyDescent="0.2">
      <c r="A45" s="6" t="s">
        <v>3</v>
      </c>
      <c r="B45" s="6" t="s">
        <v>62</v>
      </c>
      <c r="C45" s="5" t="s">
        <v>80</v>
      </c>
      <c r="D45" s="5" t="s">
        <v>80</v>
      </c>
      <c r="E45" s="4" t="e">
        <f>C45*(1-$F$16)</f>
        <v>#VALUE!</v>
      </c>
      <c r="F45" s="4" t="e">
        <f t="shared" ref="F45:F51" si="2">D45*(1-$F$16)</f>
        <v>#VALUE!</v>
      </c>
      <c r="Q45"/>
      <c r="R45"/>
    </row>
    <row r="46" spans="1:20" ht="20" customHeight="1" x14ac:dyDescent="0.2">
      <c r="A46" s="6" t="s">
        <v>3</v>
      </c>
      <c r="B46" s="6" t="s">
        <v>63</v>
      </c>
      <c r="C46" s="5" t="s">
        <v>80</v>
      </c>
      <c r="D46" s="5" t="s">
        <v>80</v>
      </c>
      <c r="E46" s="4" t="e">
        <f t="shared" ref="E46:E51" si="3">C46*(1-$F$16)</f>
        <v>#VALUE!</v>
      </c>
      <c r="F46" s="4" t="e">
        <f t="shared" si="2"/>
        <v>#VALUE!</v>
      </c>
      <c r="Q46"/>
      <c r="R46"/>
    </row>
    <row r="47" spans="1:20" ht="20" customHeight="1" x14ac:dyDescent="0.2">
      <c r="A47" s="6" t="s">
        <v>3</v>
      </c>
      <c r="B47" s="6" t="s">
        <v>64</v>
      </c>
      <c r="C47" s="5" t="s">
        <v>80</v>
      </c>
      <c r="D47" s="5" t="s">
        <v>80</v>
      </c>
      <c r="E47" s="4" t="e">
        <f t="shared" si="3"/>
        <v>#VALUE!</v>
      </c>
      <c r="F47" s="4" t="e">
        <f t="shared" si="2"/>
        <v>#VALUE!</v>
      </c>
      <c r="Q47"/>
      <c r="R47"/>
    </row>
    <row r="48" spans="1:20" ht="20" customHeight="1" x14ac:dyDescent="0.2">
      <c r="A48" s="9" t="s">
        <v>2</v>
      </c>
      <c r="B48" s="9" t="s">
        <v>60</v>
      </c>
      <c r="C48" s="8" t="s">
        <v>80</v>
      </c>
      <c r="D48" s="8" t="s">
        <v>80</v>
      </c>
      <c r="E48" s="7" t="e">
        <f t="shared" si="3"/>
        <v>#VALUE!</v>
      </c>
      <c r="F48" s="7" t="e">
        <f t="shared" si="2"/>
        <v>#VALUE!</v>
      </c>
      <c r="Q48"/>
      <c r="R48"/>
    </row>
    <row r="49" spans="1:18" ht="20" customHeight="1" x14ac:dyDescent="0.2">
      <c r="A49" s="9" t="s">
        <v>2</v>
      </c>
      <c r="B49" s="9" t="s">
        <v>62</v>
      </c>
      <c r="C49" s="8" t="s">
        <v>80</v>
      </c>
      <c r="D49" s="8" t="s">
        <v>80</v>
      </c>
      <c r="E49" s="7" t="e">
        <f t="shared" si="3"/>
        <v>#VALUE!</v>
      </c>
      <c r="F49" s="7" t="e">
        <f t="shared" si="2"/>
        <v>#VALUE!</v>
      </c>
      <c r="Q49"/>
      <c r="R49"/>
    </row>
    <row r="50" spans="1:18" ht="20" customHeight="1" x14ac:dyDescent="0.2">
      <c r="A50" s="9" t="s">
        <v>2</v>
      </c>
      <c r="B50" s="9" t="s">
        <v>63</v>
      </c>
      <c r="C50" s="8" t="s">
        <v>80</v>
      </c>
      <c r="D50" s="8" t="s">
        <v>80</v>
      </c>
      <c r="E50" s="7" t="e">
        <f t="shared" si="3"/>
        <v>#VALUE!</v>
      </c>
      <c r="F50" s="7" t="e">
        <f t="shared" si="2"/>
        <v>#VALUE!</v>
      </c>
      <c r="Q50"/>
      <c r="R50"/>
    </row>
    <row r="51" spans="1:18" ht="20" customHeight="1" x14ac:dyDescent="0.2">
      <c r="A51" s="9" t="s">
        <v>2</v>
      </c>
      <c r="B51" s="9" t="s">
        <v>64</v>
      </c>
      <c r="C51" s="8" t="s">
        <v>80</v>
      </c>
      <c r="D51" s="8" t="s">
        <v>80</v>
      </c>
      <c r="E51" s="7" t="e">
        <f t="shared" si="3"/>
        <v>#VALUE!</v>
      </c>
      <c r="F51" s="7" t="e">
        <f t="shared" si="2"/>
        <v>#VALUE!</v>
      </c>
      <c r="Q51"/>
      <c r="R51"/>
    </row>
    <row r="52" spans="1:18" ht="20" customHeight="1" x14ac:dyDescent="0.2">
      <c r="A52" s="6" t="s">
        <v>1</v>
      </c>
      <c r="B52" s="6" t="s">
        <v>65</v>
      </c>
      <c r="C52" s="5"/>
      <c r="D52" s="5" t="s">
        <v>80</v>
      </c>
      <c r="E52" s="4" t="s">
        <v>46</v>
      </c>
      <c r="F52" s="4" t="e">
        <f>D52*(1-$F$16)</f>
        <v>#VALUE!</v>
      </c>
      <c r="G52" s="3" t="s">
        <v>0</v>
      </c>
      <c r="Q52"/>
      <c r="R52"/>
    </row>
    <row r="53" spans="1:18" ht="20" customHeight="1" x14ac:dyDescent="0.2">
      <c r="Q53"/>
      <c r="R53"/>
    </row>
    <row r="54" spans="1:18" ht="20" customHeight="1" x14ac:dyDescent="0.2">
      <c r="A54" s="3" t="s">
        <v>73</v>
      </c>
      <c r="Q54"/>
      <c r="R54"/>
    </row>
    <row r="55" spans="1:18" ht="20" customHeight="1" x14ac:dyDescent="0.2">
      <c r="Q55"/>
      <c r="R55"/>
    </row>
    <row r="56" spans="1:18" ht="20" customHeight="1" x14ac:dyDescent="0.2">
      <c r="Q56"/>
      <c r="R56"/>
    </row>
    <row r="57" spans="1:18" ht="20" customHeight="1" x14ac:dyDescent="0.2">
      <c r="Q57"/>
      <c r="R57"/>
    </row>
    <row r="58" spans="1:18" ht="20" customHeight="1" x14ac:dyDescent="0.2">
      <c r="Q58"/>
      <c r="R58"/>
    </row>
    <row r="59" spans="1:18" ht="20" customHeight="1" x14ac:dyDescent="0.2">
      <c r="Q59"/>
      <c r="R59"/>
    </row>
    <row r="60" spans="1:18" ht="20" customHeight="1" x14ac:dyDescent="0.2">
      <c r="Q60"/>
      <c r="R60"/>
    </row>
    <row r="61" spans="1:18" ht="20" customHeight="1" x14ac:dyDescent="0.2">
      <c r="Q61"/>
      <c r="R61"/>
    </row>
    <row r="62" spans="1:18" ht="20" customHeight="1" x14ac:dyDescent="0.2">
      <c r="Q62"/>
      <c r="R62"/>
    </row>
    <row r="63" spans="1:18" ht="20" customHeight="1" x14ac:dyDescent="0.2">
      <c r="Q63"/>
      <c r="R63"/>
    </row>
    <row r="64" spans="1:18" ht="20" customHeight="1" x14ac:dyDescent="0.2">
      <c r="Q64"/>
      <c r="R64"/>
    </row>
    <row r="65" spans="17:18" ht="20" customHeight="1" x14ac:dyDescent="0.2">
      <c r="Q65"/>
      <c r="R65"/>
    </row>
    <row r="66" spans="17:18" ht="20" customHeight="1" x14ac:dyDescent="0.2">
      <c r="Q66"/>
      <c r="R66"/>
    </row>
    <row r="67" spans="17:18" ht="20" customHeight="1" x14ac:dyDescent="0.2">
      <c r="Q67"/>
      <c r="R67"/>
    </row>
    <row r="68" spans="17:18" ht="20" customHeight="1" x14ac:dyDescent="0.2">
      <c r="Q68"/>
      <c r="R68"/>
    </row>
    <row r="69" spans="17:18" ht="20" customHeight="1" x14ac:dyDescent="0.2">
      <c r="Q69"/>
      <c r="R69"/>
    </row>
    <row r="70" spans="17:18" ht="20" customHeight="1" x14ac:dyDescent="0.2">
      <c r="Q70"/>
      <c r="R70"/>
    </row>
    <row r="71" spans="17:18" ht="20" customHeight="1" x14ac:dyDescent="0.2">
      <c r="Q71"/>
      <c r="R71"/>
    </row>
    <row r="72" spans="17:18" ht="20" customHeight="1" x14ac:dyDescent="0.2">
      <c r="Q72"/>
      <c r="R72"/>
    </row>
    <row r="73" spans="17:18" ht="20" customHeight="1" x14ac:dyDescent="0.2">
      <c r="Q73"/>
      <c r="R73"/>
    </row>
    <row r="74" spans="17:18" ht="20" customHeight="1" x14ac:dyDescent="0.2">
      <c r="Q74"/>
      <c r="R74"/>
    </row>
    <row r="75" spans="17:18" ht="20" customHeight="1" x14ac:dyDescent="0.2">
      <c r="Q75"/>
      <c r="R75"/>
    </row>
    <row r="76" spans="17:18" ht="20" customHeight="1" x14ac:dyDescent="0.2">
      <c r="Q76"/>
      <c r="R76"/>
    </row>
    <row r="77" spans="17:18" ht="20" customHeight="1" x14ac:dyDescent="0.2">
      <c r="Q77"/>
      <c r="R77"/>
    </row>
    <row r="78" spans="17:18" ht="20" customHeight="1" x14ac:dyDescent="0.2">
      <c r="Q78"/>
      <c r="R78"/>
    </row>
    <row r="79" spans="17:18" ht="20" customHeight="1" x14ac:dyDescent="0.2">
      <c r="Q79"/>
      <c r="R79"/>
    </row>
    <row r="80" spans="17:18" ht="20" customHeight="1" x14ac:dyDescent="0.2">
      <c r="Q80"/>
      <c r="R80"/>
    </row>
    <row r="81" spans="17:18" ht="20" customHeight="1" x14ac:dyDescent="0.2">
      <c r="Q81"/>
      <c r="R81"/>
    </row>
    <row r="82" spans="17:18" ht="20" customHeight="1" x14ac:dyDescent="0.2">
      <c r="Q82"/>
      <c r="R82"/>
    </row>
    <row r="83" spans="17:18" ht="20" customHeight="1" x14ac:dyDescent="0.2">
      <c r="Q83"/>
      <c r="R83"/>
    </row>
    <row r="84" spans="17:18" ht="20" customHeight="1" x14ac:dyDescent="0.2">
      <c r="Q84"/>
      <c r="R84"/>
    </row>
    <row r="85" spans="17:18" ht="20" customHeight="1" x14ac:dyDescent="0.2">
      <c r="Q85"/>
      <c r="R85"/>
    </row>
    <row r="86" spans="17:18" ht="20" customHeight="1" x14ac:dyDescent="0.2">
      <c r="Q86"/>
      <c r="R86"/>
    </row>
    <row r="87" spans="17:18" ht="20" customHeight="1" x14ac:dyDescent="0.2">
      <c r="Q87"/>
      <c r="R87"/>
    </row>
    <row r="88" spans="17:18" ht="20" customHeight="1" x14ac:dyDescent="0.2">
      <c r="Q88"/>
      <c r="R88"/>
    </row>
    <row r="89" spans="17:18" ht="20" customHeight="1" x14ac:dyDescent="0.2">
      <c r="Q89"/>
      <c r="R89"/>
    </row>
    <row r="90" spans="17:18" ht="20" customHeight="1" x14ac:dyDescent="0.2">
      <c r="Q90"/>
      <c r="R90"/>
    </row>
    <row r="91" spans="17:18" ht="20" customHeight="1" x14ac:dyDescent="0.2">
      <c r="Q91"/>
      <c r="R91"/>
    </row>
    <row r="92" spans="17:18" ht="20" customHeight="1" x14ac:dyDescent="0.2">
      <c r="Q92"/>
      <c r="R92"/>
    </row>
    <row r="93" spans="17:18" ht="20" customHeight="1" x14ac:dyDescent="0.2">
      <c r="Q93"/>
      <c r="R93"/>
    </row>
    <row r="94" spans="17:18" ht="20" customHeight="1" x14ac:dyDescent="0.2">
      <c r="Q94"/>
      <c r="R94"/>
    </row>
    <row r="95" spans="17:18" ht="20" customHeight="1" x14ac:dyDescent="0.2">
      <c r="Q95"/>
      <c r="R95"/>
    </row>
    <row r="96" spans="17:18" ht="20" customHeight="1" x14ac:dyDescent="0.2">
      <c r="Q96"/>
      <c r="R96"/>
    </row>
    <row r="97" spans="17:18" ht="20" customHeight="1" x14ac:dyDescent="0.2">
      <c r="Q97"/>
      <c r="R97"/>
    </row>
    <row r="98" spans="17:18" ht="20" customHeight="1" x14ac:dyDescent="0.2">
      <c r="Q98"/>
      <c r="R98"/>
    </row>
    <row r="99" spans="17:18" ht="20" customHeight="1" x14ac:dyDescent="0.2">
      <c r="Q99"/>
      <c r="R99"/>
    </row>
    <row r="100" spans="17:18" ht="20" customHeight="1" x14ac:dyDescent="0.2">
      <c r="Q100"/>
      <c r="R100"/>
    </row>
    <row r="101" spans="17:18" ht="20" customHeight="1" x14ac:dyDescent="0.2">
      <c r="Q101"/>
      <c r="R101"/>
    </row>
    <row r="102" spans="17:18" ht="20" customHeight="1" x14ac:dyDescent="0.2">
      <c r="Q102"/>
      <c r="R102"/>
    </row>
    <row r="103" spans="17:18" ht="20" customHeight="1" x14ac:dyDescent="0.2">
      <c r="Q103"/>
      <c r="R103"/>
    </row>
    <row r="104" spans="17:18" ht="20" customHeight="1" x14ac:dyDescent="0.2">
      <c r="Q104"/>
      <c r="R104"/>
    </row>
    <row r="105" spans="17:18" ht="20" customHeight="1" x14ac:dyDescent="0.2">
      <c r="Q105"/>
      <c r="R105"/>
    </row>
    <row r="106" spans="17:18" ht="20" customHeight="1" x14ac:dyDescent="0.2">
      <c r="Q106"/>
      <c r="R106"/>
    </row>
    <row r="107" spans="17:18" ht="20" customHeight="1" x14ac:dyDescent="0.2">
      <c r="Q107"/>
      <c r="R107"/>
    </row>
    <row r="108" spans="17:18" ht="20" customHeight="1" x14ac:dyDescent="0.2">
      <c r="Q108"/>
      <c r="R108"/>
    </row>
    <row r="109" spans="17:18" ht="20" customHeight="1" x14ac:dyDescent="0.2">
      <c r="Q109"/>
      <c r="R109"/>
    </row>
    <row r="110" spans="17:18" ht="20" customHeight="1" x14ac:dyDescent="0.2">
      <c r="Q110"/>
      <c r="R110"/>
    </row>
    <row r="111" spans="17:18" ht="20" customHeight="1" x14ac:dyDescent="0.2">
      <c r="Q111"/>
      <c r="R111"/>
    </row>
    <row r="112" spans="17:18" ht="20" customHeight="1" x14ac:dyDescent="0.2">
      <c r="Q112"/>
      <c r="R112"/>
    </row>
    <row r="113" spans="17:18" ht="20" customHeight="1" x14ac:dyDescent="0.2">
      <c r="Q113"/>
      <c r="R113"/>
    </row>
    <row r="114" spans="17:18" ht="20" customHeight="1" x14ac:dyDescent="0.2">
      <c r="Q114"/>
      <c r="R114"/>
    </row>
    <row r="115" spans="17:18" ht="20" customHeight="1" x14ac:dyDescent="0.2">
      <c r="Q115"/>
      <c r="R115"/>
    </row>
    <row r="116" spans="17:18" ht="20" customHeight="1" x14ac:dyDescent="0.2">
      <c r="Q116"/>
      <c r="R116"/>
    </row>
    <row r="117" spans="17:18" ht="20" customHeight="1" x14ac:dyDescent="0.2">
      <c r="Q117"/>
      <c r="R117"/>
    </row>
    <row r="118" spans="17:18" ht="20" customHeight="1" x14ac:dyDescent="0.2">
      <c r="Q118"/>
      <c r="R118"/>
    </row>
    <row r="119" spans="17:18" ht="20" customHeight="1" x14ac:dyDescent="0.2">
      <c r="Q119"/>
      <c r="R119"/>
    </row>
    <row r="120" spans="17:18" ht="20" customHeight="1" x14ac:dyDescent="0.2">
      <c r="Q120"/>
      <c r="R120"/>
    </row>
    <row r="121" spans="17:18" ht="20" customHeight="1" x14ac:dyDescent="0.2">
      <c r="Q121"/>
      <c r="R121"/>
    </row>
    <row r="122" spans="17:18" ht="20" customHeight="1" x14ac:dyDescent="0.2">
      <c r="Q122"/>
      <c r="R122"/>
    </row>
    <row r="123" spans="17:18" ht="20" customHeight="1" x14ac:dyDescent="0.2">
      <c r="Q123"/>
      <c r="R123"/>
    </row>
    <row r="124" spans="17:18" ht="20" customHeight="1" x14ac:dyDescent="0.2">
      <c r="Q124"/>
      <c r="R124"/>
    </row>
    <row r="125" spans="17:18" ht="20" customHeight="1" x14ac:dyDescent="0.2">
      <c r="Q125"/>
      <c r="R125"/>
    </row>
    <row r="126" spans="17:18" ht="20" customHeight="1" x14ac:dyDescent="0.2">
      <c r="Q126"/>
      <c r="R126"/>
    </row>
    <row r="127" spans="17:18" ht="20" customHeight="1" x14ac:dyDescent="0.2">
      <c r="Q127"/>
      <c r="R127"/>
    </row>
    <row r="128" spans="17:18" ht="20" customHeight="1" x14ac:dyDescent="0.2">
      <c r="Q128"/>
      <c r="R128"/>
    </row>
    <row r="129" spans="17:18" ht="20" customHeight="1" x14ac:dyDescent="0.2">
      <c r="Q129"/>
      <c r="R129"/>
    </row>
    <row r="130" spans="17:18" ht="20" customHeight="1" x14ac:dyDescent="0.2">
      <c r="Q130"/>
      <c r="R130"/>
    </row>
    <row r="131" spans="17:18" ht="20" customHeight="1" x14ac:dyDescent="0.2">
      <c r="Q131"/>
      <c r="R131"/>
    </row>
    <row r="132" spans="17:18" ht="20" customHeight="1" x14ac:dyDescent="0.2">
      <c r="Q132"/>
      <c r="R132"/>
    </row>
    <row r="133" spans="17:18" ht="20" customHeight="1" x14ac:dyDescent="0.2">
      <c r="Q133"/>
      <c r="R133"/>
    </row>
    <row r="134" spans="17:18" ht="20" customHeight="1" x14ac:dyDescent="0.2">
      <c r="Q134"/>
      <c r="R134"/>
    </row>
    <row r="135" spans="17:18" ht="20" customHeight="1" x14ac:dyDescent="0.2">
      <c r="Q135"/>
      <c r="R135"/>
    </row>
    <row r="136" spans="17:18" ht="20" customHeight="1" x14ac:dyDescent="0.2">
      <c r="Q136"/>
      <c r="R136"/>
    </row>
    <row r="137" spans="17:18" ht="20" customHeight="1" x14ac:dyDescent="0.2">
      <c r="Q137"/>
      <c r="R137"/>
    </row>
    <row r="138" spans="17:18" ht="20" customHeight="1" x14ac:dyDescent="0.2">
      <c r="Q138"/>
      <c r="R138"/>
    </row>
    <row r="139" spans="17:18" ht="20" customHeight="1" x14ac:dyDescent="0.2">
      <c r="Q139"/>
      <c r="R139"/>
    </row>
    <row r="140" spans="17:18" ht="20" customHeight="1" x14ac:dyDescent="0.2">
      <c r="Q140"/>
      <c r="R140"/>
    </row>
    <row r="141" spans="17:18" ht="20" customHeight="1" x14ac:dyDescent="0.2">
      <c r="Q141"/>
      <c r="R141"/>
    </row>
    <row r="142" spans="17:18" ht="20" customHeight="1" x14ac:dyDescent="0.2">
      <c r="Q142"/>
      <c r="R142"/>
    </row>
    <row r="143" spans="17:18" ht="20" customHeight="1" x14ac:dyDescent="0.2">
      <c r="Q143"/>
      <c r="R143"/>
    </row>
    <row r="144" spans="17:18" ht="20" customHeight="1" x14ac:dyDescent="0.2">
      <c r="Q144"/>
      <c r="R144"/>
    </row>
    <row r="145" spans="17:18" ht="20" customHeight="1" x14ac:dyDescent="0.2">
      <c r="Q145"/>
      <c r="R145"/>
    </row>
    <row r="146" spans="17:18" ht="20" customHeight="1" x14ac:dyDescent="0.2">
      <c r="Q146"/>
      <c r="R146"/>
    </row>
    <row r="147" spans="17:18" ht="20" customHeight="1" x14ac:dyDescent="0.2">
      <c r="Q147"/>
      <c r="R147"/>
    </row>
    <row r="148" spans="17:18" ht="20" customHeight="1" x14ac:dyDescent="0.2">
      <c r="Q148"/>
      <c r="R148"/>
    </row>
    <row r="149" spans="17:18" ht="20" customHeight="1" x14ac:dyDescent="0.2">
      <c r="Q149"/>
      <c r="R149"/>
    </row>
    <row r="150" spans="17:18" ht="20" customHeight="1" x14ac:dyDescent="0.2">
      <c r="Q150"/>
      <c r="R150"/>
    </row>
    <row r="151" spans="17:18" ht="20" customHeight="1" x14ac:dyDescent="0.2">
      <c r="Q151"/>
      <c r="R151"/>
    </row>
    <row r="152" spans="17:18" ht="20" customHeight="1" x14ac:dyDescent="0.2">
      <c r="Q152"/>
      <c r="R152"/>
    </row>
    <row r="153" spans="17:18" ht="20" customHeight="1" x14ac:dyDescent="0.2">
      <c r="Q153"/>
      <c r="R153"/>
    </row>
    <row r="154" spans="17:18" ht="20" customHeight="1" x14ac:dyDescent="0.2">
      <c r="Q154"/>
      <c r="R154"/>
    </row>
    <row r="155" spans="17:18" ht="20" customHeight="1" x14ac:dyDescent="0.2">
      <c r="Q155"/>
      <c r="R155"/>
    </row>
    <row r="156" spans="17:18" ht="20" customHeight="1" x14ac:dyDescent="0.2">
      <c r="Q156"/>
      <c r="R156"/>
    </row>
    <row r="157" spans="17:18" ht="20" customHeight="1" x14ac:dyDescent="0.2">
      <c r="Q157"/>
      <c r="R157"/>
    </row>
    <row r="158" spans="17:18" ht="20" customHeight="1" x14ac:dyDescent="0.2">
      <c r="Q158"/>
      <c r="R158"/>
    </row>
    <row r="159" spans="17:18" ht="20" customHeight="1" x14ac:dyDescent="0.2">
      <c r="Q159"/>
      <c r="R159"/>
    </row>
    <row r="160" spans="17:18" ht="20" customHeight="1" x14ac:dyDescent="0.2">
      <c r="Q160"/>
      <c r="R160"/>
    </row>
    <row r="161" spans="17:18" ht="20" customHeight="1" x14ac:dyDescent="0.2">
      <c r="Q161"/>
      <c r="R161"/>
    </row>
    <row r="162" spans="17:18" ht="20" customHeight="1" x14ac:dyDescent="0.2">
      <c r="Q162"/>
      <c r="R162"/>
    </row>
    <row r="163" spans="17:18" ht="20" customHeight="1" x14ac:dyDescent="0.2">
      <c r="Q163"/>
      <c r="R163"/>
    </row>
    <row r="164" spans="17:18" ht="20" customHeight="1" x14ac:dyDescent="0.2">
      <c r="Q164"/>
      <c r="R164"/>
    </row>
    <row r="165" spans="17:18" ht="20" customHeight="1" x14ac:dyDescent="0.2">
      <c r="Q165"/>
      <c r="R165"/>
    </row>
    <row r="166" spans="17:18" ht="20" customHeight="1" x14ac:dyDescent="0.2">
      <c r="Q166"/>
      <c r="R166"/>
    </row>
    <row r="167" spans="17:18" ht="20" customHeight="1" x14ac:dyDescent="0.2">
      <c r="Q167"/>
      <c r="R167"/>
    </row>
    <row r="168" spans="17:18" ht="20" customHeight="1" x14ac:dyDescent="0.2">
      <c r="Q168"/>
      <c r="R168"/>
    </row>
    <row r="169" spans="17:18" ht="20" customHeight="1" x14ac:dyDescent="0.2">
      <c r="Q169"/>
      <c r="R169"/>
    </row>
    <row r="170" spans="17:18" ht="20" customHeight="1" x14ac:dyDescent="0.2">
      <c r="Q170"/>
      <c r="R170"/>
    </row>
    <row r="171" spans="17:18" ht="20" customHeight="1" x14ac:dyDescent="0.2">
      <c r="Q171"/>
      <c r="R171"/>
    </row>
    <row r="172" spans="17:18" ht="20" customHeight="1" x14ac:dyDescent="0.2">
      <c r="Q172"/>
      <c r="R172"/>
    </row>
    <row r="173" spans="17:18" ht="20" customHeight="1" x14ac:dyDescent="0.2">
      <c r="Q173"/>
      <c r="R173"/>
    </row>
    <row r="174" spans="17:18" ht="20" customHeight="1" x14ac:dyDescent="0.2">
      <c r="Q174"/>
      <c r="R174"/>
    </row>
    <row r="175" spans="17:18" ht="20" customHeight="1" x14ac:dyDescent="0.2">
      <c r="Q175"/>
      <c r="R175"/>
    </row>
    <row r="176" spans="17:18" ht="20" customHeight="1" x14ac:dyDescent="0.2">
      <c r="Q176"/>
      <c r="R176"/>
    </row>
    <row r="177" spans="17:18" ht="20" customHeight="1" x14ac:dyDescent="0.2">
      <c r="Q177"/>
      <c r="R177"/>
    </row>
    <row r="178" spans="17:18" ht="20" customHeight="1" x14ac:dyDescent="0.2">
      <c r="Q178"/>
      <c r="R178"/>
    </row>
    <row r="179" spans="17:18" ht="20" customHeight="1" x14ac:dyDescent="0.2">
      <c r="Q179"/>
      <c r="R179"/>
    </row>
    <row r="180" spans="17:18" ht="20" customHeight="1" x14ac:dyDescent="0.2">
      <c r="Q180"/>
      <c r="R180"/>
    </row>
    <row r="181" spans="17:18" ht="20" customHeight="1" x14ac:dyDescent="0.2">
      <c r="Q181"/>
      <c r="R181"/>
    </row>
    <row r="182" spans="17:18" ht="20" customHeight="1" x14ac:dyDescent="0.2">
      <c r="Q182"/>
      <c r="R182"/>
    </row>
    <row r="183" spans="17:18" ht="20" customHeight="1" x14ac:dyDescent="0.2">
      <c r="Q183"/>
      <c r="R183"/>
    </row>
    <row r="184" spans="17:18" ht="20" customHeight="1" x14ac:dyDescent="0.2">
      <c r="Q184"/>
      <c r="R184"/>
    </row>
    <row r="185" spans="17:18" ht="20" customHeight="1" x14ac:dyDescent="0.2">
      <c r="Q185"/>
      <c r="R185"/>
    </row>
    <row r="186" spans="17:18" ht="20" customHeight="1" x14ac:dyDescent="0.2">
      <c r="Q186"/>
      <c r="R186"/>
    </row>
    <row r="187" spans="17:18" ht="20" customHeight="1" x14ac:dyDescent="0.2">
      <c r="Q187"/>
      <c r="R187"/>
    </row>
    <row r="188" spans="17:18" ht="20" customHeight="1" x14ac:dyDescent="0.2">
      <c r="Q188"/>
      <c r="R188"/>
    </row>
    <row r="189" spans="17:18" ht="20" customHeight="1" x14ac:dyDescent="0.2">
      <c r="Q189"/>
      <c r="R189"/>
    </row>
    <row r="190" spans="17:18" ht="20" customHeight="1" x14ac:dyDescent="0.2">
      <c r="Q190"/>
      <c r="R190"/>
    </row>
    <row r="191" spans="17:18" ht="20" customHeight="1" x14ac:dyDescent="0.2">
      <c r="Q191"/>
      <c r="R191"/>
    </row>
    <row r="192" spans="17:18" ht="20" customHeight="1" x14ac:dyDescent="0.2">
      <c r="Q192"/>
      <c r="R192"/>
    </row>
    <row r="193" spans="17:18" ht="20" customHeight="1" x14ac:dyDescent="0.2">
      <c r="Q193"/>
      <c r="R193"/>
    </row>
    <row r="194" spans="17:18" ht="20" customHeight="1" x14ac:dyDescent="0.2">
      <c r="Q194"/>
      <c r="R194"/>
    </row>
    <row r="195" spans="17:18" ht="20" customHeight="1" x14ac:dyDescent="0.2">
      <c r="Q195"/>
      <c r="R195"/>
    </row>
    <row r="196" spans="17:18" ht="20" customHeight="1" x14ac:dyDescent="0.2">
      <c r="Q196"/>
      <c r="R196"/>
    </row>
    <row r="197" spans="17:18" ht="20" customHeight="1" x14ac:dyDescent="0.2">
      <c r="Q197"/>
      <c r="R197"/>
    </row>
    <row r="198" spans="17:18" ht="20" customHeight="1" x14ac:dyDescent="0.2">
      <c r="Q198"/>
      <c r="R198"/>
    </row>
    <row r="199" spans="17:18" ht="20" customHeight="1" x14ac:dyDescent="0.2">
      <c r="Q199"/>
      <c r="R199"/>
    </row>
    <row r="200" spans="17:18" ht="20" customHeight="1" x14ac:dyDescent="0.2">
      <c r="Q200"/>
      <c r="R200"/>
    </row>
    <row r="201" spans="17:18" ht="20" customHeight="1" x14ac:dyDescent="0.2">
      <c r="Q201"/>
      <c r="R201"/>
    </row>
    <row r="202" spans="17:18" ht="20" customHeight="1" x14ac:dyDescent="0.2">
      <c r="Q202"/>
      <c r="R202"/>
    </row>
    <row r="203" spans="17:18" ht="20" customHeight="1" x14ac:dyDescent="0.2">
      <c r="Q203"/>
      <c r="R203"/>
    </row>
    <row r="204" spans="17:18" ht="20" customHeight="1" x14ac:dyDescent="0.2">
      <c r="Q204"/>
      <c r="R204"/>
    </row>
    <row r="205" spans="17:18" ht="20" customHeight="1" x14ac:dyDescent="0.2">
      <c r="Q205"/>
      <c r="R205"/>
    </row>
    <row r="206" spans="17:18" ht="20" customHeight="1" x14ac:dyDescent="0.2">
      <c r="Q206"/>
      <c r="R206"/>
    </row>
    <row r="207" spans="17:18" ht="20" customHeight="1" x14ac:dyDescent="0.2">
      <c r="Q207"/>
      <c r="R207"/>
    </row>
    <row r="208" spans="17:18" ht="20" customHeight="1" x14ac:dyDescent="0.2">
      <c r="Q208"/>
      <c r="R208"/>
    </row>
    <row r="209" spans="17:18" ht="20" customHeight="1" x14ac:dyDescent="0.2">
      <c r="Q209"/>
      <c r="R209"/>
    </row>
    <row r="210" spans="17:18" ht="20" customHeight="1" x14ac:dyDescent="0.2">
      <c r="Q210"/>
      <c r="R210"/>
    </row>
    <row r="211" spans="17:18" ht="20" customHeight="1" x14ac:dyDescent="0.2">
      <c r="Q211"/>
      <c r="R211"/>
    </row>
    <row r="212" spans="17:18" ht="20" customHeight="1" x14ac:dyDescent="0.2">
      <c r="Q212"/>
      <c r="R212"/>
    </row>
    <row r="213" spans="17:18" ht="20" customHeight="1" x14ac:dyDescent="0.2">
      <c r="Q213"/>
      <c r="R213"/>
    </row>
    <row r="214" spans="17:18" ht="20" customHeight="1" x14ac:dyDescent="0.2">
      <c r="Q214"/>
      <c r="R214"/>
    </row>
    <row r="215" spans="17:18" ht="20" customHeight="1" x14ac:dyDescent="0.2">
      <c r="Q215"/>
      <c r="R215"/>
    </row>
    <row r="216" spans="17:18" ht="20" customHeight="1" x14ac:dyDescent="0.2">
      <c r="Q216"/>
      <c r="R216"/>
    </row>
    <row r="217" spans="17:18" ht="20" customHeight="1" x14ac:dyDescent="0.2">
      <c r="Q217"/>
      <c r="R217"/>
    </row>
    <row r="218" spans="17:18" ht="20" customHeight="1" x14ac:dyDescent="0.2">
      <c r="Q218"/>
      <c r="R218"/>
    </row>
    <row r="219" spans="17:18" ht="20" customHeight="1" x14ac:dyDescent="0.2">
      <c r="Q219"/>
      <c r="R219"/>
    </row>
    <row r="220" spans="17:18" ht="20" customHeight="1" x14ac:dyDescent="0.2">
      <c r="Q220"/>
      <c r="R220"/>
    </row>
    <row r="221" spans="17:18" ht="20" customHeight="1" x14ac:dyDescent="0.2">
      <c r="Q221"/>
      <c r="R221"/>
    </row>
    <row r="222" spans="17:18" ht="20" customHeight="1" x14ac:dyDescent="0.2">
      <c r="Q222"/>
      <c r="R222"/>
    </row>
    <row r="223" spans="17:18" ht="20" customHeight="1" x14ac:dyDescent="0.2">
      <c r="Q223"/>
      <c r="R223"/>
    </row>
    <row r="224" spans="17:18" ht="20" customHeight="1" x14ac:dyDescent="0.2">
      <c r="Q224"/>
      <c r="R224"/>
    </row>
    <row r="225" spans="17:18" ht="20" customHeight="1" x14ac:dyDescent="0.2">
      <c r="Q225"/>
      <c r="R225"/>
    </row>
    <row r="226" spans="17:18" ht="20" customHeight="1" x14ac:dyDescent="0.2">
      <c r="Q226"/>
      <c r="R226"/>
    </row>
    <row r="227" spans="17:18" ht="20" customHeight="1" x14ac:dyDescent="0.2">
      <c r="Q227"/>
      <c r="R227"/>
    </row>
    <row r="228" spans="17:18" ht="20" customHeight="1" x14ac:dyDescent="0.2">
      <c r="Q228"/>
      <c r="R228"/>
    </row>
    <row r="229" spans="17:18" ht="20" customHeight="1" x14ac:dyDescent="0.2">
      <c r="Q229"/>
      <c r="R229"/>
    </row>
    <row r="230" spans="17:18" ht="20" customHeight="1" x14ac:dyDescent="0.2">
      <c r="Q230"/>
      <c r="R230"/>
    </row>
    <row r="231" spans="17:18" ht="20" customHeight="1" x14ac:dyDescent="0.2">
      <c r="Q231"/>
      <c r="R231"/>
    </row>
    <row r="232" spans="17:18" ht="20" customHeight="1" x14ac:dyDescent="0.2">
      <c r="Q232"/>
      <c r="R232"/>
    </row>
    <row r="233" spans="17:18" ht="20" customHeight="1" x14ac:dyDescent="0.2">
      <c r="Q233"/>
      <c r="R233"/>
    </row>
    <row r="234" spans="17:18" ht="20" customHeight="1" x14ac:dyDescent="0.2">
      <c r="Q234"/>
      <c r="R234"/>
    </row>
    <row r="235" spans="17:18" ht="20" customHeight="1" x14ac:dyDescent="0.2">
      <c r="Q235"/>
      <c r="R235"/>
    </row>
    <row r="236" spans="17:18" ht="20" customHeight="1" x14ac:dyDescent="0.2">
      <c r="Q236"/>
      <c r="R236"/>
    </row>
    <row r="237" spans="17:18" ht="20" customHeight="1" x14ac:dyDescent="0.2">
      <c r="Q237"/>
      <c r="R237"/>
    </row>
    <row r="238" spans="17:18" ht="20" customHeight="1" x14ac:dyDescent="0.2">
      <c r="Q238"/>
      <c r="R238"/>
    </row>
    <row r="239" spans="17:18" ht="20" customHeight="1" x14ac:dyDescent="0.2">
      <c r="Q239"/>
      <c r="R239"/>
    </row>
    <row r="240" spans="17:18" ht="20" customHeight="1" x14ac:dyDescent="0.2">
      <c r="Q240"/>
      <c r="R240"/>
    </row>
    <row r="241" spans="17:18" ht="20" customHeight="1" x14ac:dyDescent="0.2">
      <c r="Q241"/>
      <c r="R241"/>
    </row>
    <row r="242" spans="17:18" ht="20" customHeight="1" x14ac:dyDescent="0.2">
      <c r="Q242"/>
      <c r="R242"/>
    </row>
    <row r="243" spans="17:18" ht="20" customHeight="1" x14ac:dyDescent="0.2">
      <c r="Q243"/>
      <c r="R243"/>
    </row>
    <row r="244" spans="17:18" ht="20" customHeight="1" x14ac:dyDescent="0.2">
      <c r="Q244"/>
      <c r="R244"/>
    </row>
    <row r="245" spans="17:18" ht="20" customHeight="1" x14ac:dyDescent="0.2">
      <c r="Q245"/>
      <c r="R245"/>
    </row>
    <row r="246" spans="17:18" ht="20" customHeight="1" x14ac:dyDescent="0.2">
      <c r="Q246"/>
      <c r="R246"/>
    </row>
    <row r="247" spans="17:18" ht="20" customHeight="1" x14ac:dyDescent="0.2">
      <c r="Q247"/>
      <c r="R247"/>
    </row>
    <row r="248" spans="17:18" ht="20" customHeight="1" x14ac:dyDescent="0.2">
      <c r="Q248"/>
      <c r="R248"/>
    </row>
    <row r="249" spans="17:18" ht="20" customHeight="1" x14ac:dyDescent="0.2">
      <c r="Q249"/>
      <c r="R249"/>
    </row>
    <row r="250" spans="17:18" ht="20" customHeight="1" x14ac:dyDescent="0.2">
      <c r="Q250"/>
      <c r="R250"/>
    </row>
    <row r="251" spans="17:18" ht="20" customHeight="1" x14ac:dyDescent="0.2">
      <c r="Q251"/>
      <c r="R251"/>
    </row>
    <row r="252" spans="17:18" ht="20" customHeight="1" x14ac:dyDescent="0.2">
      <c r="Q252"/>
      <c r="R252"/>
    </row>
    <row r="253" spans="17:18" ht="20" customHeight="1" x14ac:dyDescent="0.2">
      <c r="Q253"/>
      <c r="R253"/>
    </row>
    <row r="254" spans="17:18" ht="20" customHeight="1" x14ac:dyDescent="0.2">
      <c r="Q254"/>
      <c r="R254"/>
    </row>
    <row r="255" spans="17:18" ht="20" customHeight="1" x14ac:dyDescent="0.2">
      <c r="Q255"/>
      <c r="R255"/>
    </row>
    <row r="256" spans="17:18" ht="20" customHeight="1" x14ac:dyDescent="0.2">
      <c r="Q256"/>
      <c r="R256"/>
    </row>
    <row r="257" spans="17:18" ht="20" customHeight="1" x14ac:dyDescent="0.2">
      <c r="Q257"/>
      <c r="R257"/>
    </row>
    <row r="258" spans="17:18" ht="20" customHeight="1" x14ac:dyDescent="0.2">
      <c r="Q258"/>
      <c r="R258"/>
    </row>
    <row r="259" spans="17:18" ht="20" customHeight="1" x14ac:dyDescent="0.2">
      <c r="Q259"/>
      <c r="R259"/>
    </row>
    <row r="260" spans="17:18" ht="20" customHeight="1" x14ac:dyDescent="0.2">
      <c r="Q260"/>
      <c r="R260"/>
    </row>
    <row r="261" spans="17:18" ht="20" customHeight="1" x14ac:dyDescent="0.2">
      <c r="Q261"/>
      <c r="R261"/>
    </row>
    <row r="262" spans="17:18" ht="20" customHeight="1" x14ac:dyDescent="0.2">
      <c r="Q262"/>
      <c r="R262"/>
    </row>
    <row r="263" spans="17:18" ht="20" customHeight="1" x14ac:dyDescent="0.2">
      <c r="Q263"/>
      <c r="R263"/>
    </row>
    <row r="264" spans="17:18" ht="20" customHeight="1" x14ac:dyDescent="0.2">
      <c r="Q264"/>
      <c r="R264"/>
    </row>
    <row r="265" spans="17:18" ht="20" customHeight="1" x14ac:dyDescent="0.2">
      <c r="Q265"/>
      <c r="R265"/>
    </row>
    <row r="266" spans="17:18" ht="20" customHeight="1" x14ac:dyDescent="0.2">
      <c r="Q266"/>
      <c r="R266"/>
    </row>
    <row r="267" spans="17:18" ht="20" customHeight="1" x14ac:dyDescent="0.2">
      <c r="Q267"/>
      <c r="R267"/>
    </row>
    <row r="268" spans="17:18" ht="20" customHeight="1" x14ac:dyDescent="0.2">
      <c r="Q268"/>
      <c r="R268"/>
    </row>
    <row r="269" spans="17:18" ht="20" customHeight="1" x14ac:dyDescent="0.2">
      <c r="Q269"/>
      <c r="R269"/>
    </row>
    <row r="270" spans="17:18" ht="20" customHeight="1" x14ac:dyDescent="0.2">
      <c r="Q270"/>
      <c r="R270"/>
    </row>
    <row r="271" spans="17:18" ht="20" customHeight="1" x14ac:dyDescent="0.2">
      <c r="Q271"/>
      <c r="R271"/>
    </row>
    <row r="272" spans="17:18" ht="20" customHeight="1" x14ac:dyDescent="0.2">
      <c r="Q272"/>
      <c r="R272"/>
    </row>
    <row r="273" spans="17:18" ht="20" customHeight="1" x14ac:dyDescent="0.2">
      <c r="Q273"/>
      <c r="R273"/>
    </row>
    <row r="274" spans="17:18" ht="20" customHeight="1" x14ac:dyDescent="0.2">
      <c r="Q274"/>
      <c r="R274"/>
    </row>
    <row r="275" spans="17:18" ht="20" customHeight="1" x14ac:dyDescent="0.2">
      <c r="Q275"/>
      <c r="R275"/>
    </row>
    <row r="276" spans="17:18" ht="20" customHeight="1" x14ac:dyDescent="0.2">
      <c r="Q276"/>
      <c r="R276"/>
    </row>
    <row r="277" spans="17:18" ht="20" customHeight="1" x14ac:dyDescent="0.2">
      <c r="Q277"/>
      <c r="R277"/>
    </row>
    <row r="278" spans="17:18" ht="20" customHeight="1" x14ac:dyDescent="0.2">
      <c r="Q278"/>
      <c r="R278"/>
    </row>
    <row r="279" spans="17:18" ht="20" customHeight="1" x14ac:dyDescent="0.2">
      <c r="Q279"/>
      <c r="R279"/>
    </row>
    <row r="280" spans="17:18" ht="20" customHeight="1" x14ac:dyDescent="0.2">
      <c r="Q280"/>
      <c r="R280"/>
    </row>
    <row r="281" spans="17:18" ht="20" customHeight="1" x14ac:dyDescent="0.2">
      <c r="Q281"/>
      <c r="R281"/>
    </row>
    <row r="282" spans="17:18" ht="20" customHeight="1" x14ac:dyDescent="0.2">
      <c r="Q282"/>
      <c r="R282"/>
    </row>
    <row r="283" spans="17:18" ht="20" customHeight="1" x14ac:dyDescent="0.2">
      <c r="Q283"/>
      <c r="R283"/>
    </row>
    <row r="284" spans="17:18" ht="20" customHeight="1" x14ac:dyDescent="0.2">
      <c r="Q284"/>
      <c r="R284"/>
    </row>
    <row r="285" spans="17:18" ht="20" customHeight="1" x14ac:dyDescent="0.2">
      <c r="Q285"/>
      <c r="R285"/>
    </row>
    <row r="286" spans="17:18" ht="20" customHeight="1" x14ac:dyDescent="0.2">
      <c r="Q286"/>
      <c r="R286"/>
    </row>
    <row r="287" spans="17:18" ht="20" customHeight="1" x14ac:dyDescent="0.2">
      <c r="Q287"/>
      <c r="R287"/>
    </row>
    <row r="288" spans="17:18" ht="20" customHeight="1" x14ac:dyDescent="0.2">
      <c r="Q288"/>
      <c r="R288"/>
    </row>
    <row r="289" spans="17:18" ht="20" customHeight="1" x14ac:dyDescent="0.2">
      <c r="Q289"/>
      <c r="R289"/>
    </row>
    <row r="290" spans="17:18" ht="20" customHeight="1" x14ac:dyDescent="0.2">
      <c r="Q290"/>
      <c r="R290"/>
    </row>
    <row r="291" spans="17:18" ht="20" customHeight="1" x14ac:dyDescent="0.2">
      <c r="Q291"/>
      <c r="R291"/>
    </row>
    <row r="292" spans="17:18" ht="20" customHeight="1" x14ac:dyDescent="0.2">
      <c r="Q292"/>
      <c r="R292"/>
    </row>
    <row r="293" spans="17:18" ht="20" customHeight="1" x14ac:dyDescent="0.2">
      <c r="Q293"/>
      <c r="R293"/>
    </row>
    <row r="294" spans="17:18" ht="20" customHeight="1" x14ac:dyDescent="0.2">
      <c r="Q294"/>
      <c r="R294"/>
    </row>
  </sheetData>
  <autoFilter ref="A19:F19" xr:uid="{00000000-0009-0000-0000-000000000000}"/>
  <mergeCells count="11">
    <mergeCell ref="L37:L38"/>
    <mergeCell ref="T37:T38"/>
    <mergeCell ref="M37:M38"/>
    <mergeCell ref="N37:N38"/>
    <mergeCell ref="Q37:Q38"/>
    <mergeCell ref="R37:R38"/>
    <mergeCell ref="S37:S38"/>
    <mergeCell ref="E3:F3"/>
    <mergeCell ref="I37:I38"/>
    <mergeCell ref="J37:J38"/>
    <mergeCell ref="K37:K38"/>
  </mergeCells>
  <conditionalFormatting sqref="J28:J31">
    <cfRule type="duplicateValues" dxfId="0" priority="1"/>
  </conditionalFormatting>
  <dataValidations count="1">
    <dataValidation type="list" allowBlank="1" showInputMessage="1" showErrorMessage="1" sqref="A12:B12 A9:B9" xr:uid="{194CC364-F020-F44E-9173-3C92BCD7B844}">
      <formula1>"New Business, Renewal"</formula1>
    </dataValidation>
  </dataValidations>
  <pageMargins left="0.70866141732283472" right="0.70866141732283472" top="0.74803149606299213" bottom="0.74803149606299213" header="0.31496062992125984" footer="0.31496062992125984"/>
  <pageSetup paperSize="9" scale="4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Premium Summary</vt:lpstr>
      <vt:lpstr>'Premium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H</dc:creator>
  <cp:lastModifiedBy>Jasper H</cp:lastModifiedBy>
  <dcterms:created xsi:type="dcterms:W3CDTF">2026-04-01T07:51:55Z</dcterms:created>
  <dcterms:modified xsi:type="dcterms:W3CDTF">2026-04-01T08:52:50Z</dcterms:modified>
</cp:coreProperties>
</file>